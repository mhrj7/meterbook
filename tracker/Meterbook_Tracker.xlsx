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Done</t>
        </is>
      </c>
      <c r="L3" s="32" t="n">
        <v>1</v>
      </c>
      <c r="M3" s="33">
        <f>IF(K3="Done",1,IF(L3="",0,MIN(1,L3)))</f>
        <v/>
      </c>
      <c r="N3" s="31" t="n"/>
      <c r="O3" s="34" t="n">
        <v>46318</v>
      </c>
      <c r="P3" s="29">
        <f>IF(K3="Done",IF(O3="","Done",IF(J3="","Done",IF(O3&lt;=J3,"On time","Late"))),IF(K3="Blocked","BLOCKED",IF(I3="","",IF(TODAY()&gt;J3,"OVERDUE",IF(TODAY()&gt;=I3,"Active","Upcoming")))))</f>
        <v/>
      </c>
      <c r="Q3" s="31" t="inlineStr">
        <is>
          <t>commit 19024d4 (branch foundation)</t>
        </is>
      </c>
      <c r="R3" s="31" t="inlineStr">
        <is>
          <t>Engineering rules, README, CONTRIBUTING, ADR-0000/0001, design + runbook templates, coding/testing/API/git standards</t>
        </is>
      </c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Done</t>
        </is>
      </c>
      <c r="L4" s="32" t="n">
        <v>1</v>
      </c>
      <c r="M4" s="33">
        <f>IF(K4="Done",1,IF(L4="",0,MIN(1,L4)))</f>
        <v/>
      </c>
      <c r="N4" s="31" t="n"/>
      <c r="O4" s="34" t="n">
        <v>46318</v>
      </c>
      <c r="P4" s="29">
        <f>IF(K4="Done",IF(O4="","Done",IF(J4="","Done",IF(O4&lt;=J4,"On time","Late"))),IF(K4="Blocked","BLOCKED",IF(I4="","",IF(TODAY()&gt;J4,"OVERDUE",IF(TODAY()&gt;=I4,"Active","Upcoming")))))</f>
        <v/>
      </c>
      <c r="Q4" s="31" t="inlineStr">
        <is>
          <t>commit 19024d4 (branch foundation)</t>
        </is>
      </c>
      <c r="R4" s="31" t="inlineStr">
        <is>
          <t>docs/slo/template.md (burn-rate alerting) + docs/slo/error-budget-policy.md</t>
        </is>
      </c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with native locking (ADR-0002)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Done</t>
        </is>
      </c>
      <c r="L5" s="32" t="n">
        <v>1</v>
      </c>
      <c r="M5" s="33">
        <f>IF(K5="Done",1,IF(L5="",0,MIN(1,L5)))</f>
        <v/>
      </c>
      <c r="N5" s="31" t="n"/>
      <c r="O5" s="34" t="n">
        <v>46318</v>
      </c>
      <c r="P5" s="29">
        <f>IF(K5="Done",IF(O5="","Done",IF(J5="","Done",IF(O5&lt;=J5,"On time","Late"))),IF(K5="Blocked","BLOCKED",IF(I5="","",IF(TODAY()&gt;J5,"OVERDUE",IF(TODAY()&gt;=I5,"Active","Upcoming")))))</f>
        <v/>
      </c>
      <c r="Q5" s="31" t="inlineStr">
        <is>
          <t>https://github.com/mhrj7/meterbook/actions/runs/39939409530</t>
        </is>
      </c>
      <c r="R5" s="31" t="inlineStr">
        <is>
          <t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      </is>
      </c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Done</t>
        </is>
      </c>
      <c r="L6" s="32" t="n">
        <v>1</v>
      </c>
      <c r="M6" s="33">
        <f>IF(K6="Done",1,IF(L6="",0,MIN(1,L6)))</f>
        <v/>
      </c>
      <c r="N6" s="31" t="n"/>
      <c r="O6" s="34" t="n">
        <v>46318</v>
      </c>
      <c r="P6" s="29">
        <f>IF(K6="Done",IF(O6="","Done",IF(J6="","Done",IF(O6&lt;=J6,"On time","Late"))),IF(K6="Blocked","BLOCKED",IF(I6="","",IF(TODAY()&gt;J6,"OVERDUE",IF(TODAY()&gt;=I6,"Active","Upcoming")))))</f>
        <v/>
      </c>
      <c r="Q6" s="31" t="inlineStr">
        <is>
          <t>https://github.com/mhrj7/meterbook/actions/runs/39939409530</t>
        </is>
      </c>
      <c r="R6" s="31" t="inlineStr">
        <is>
          <t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      </is>
      </c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In Progress</t>
        </is>
      </c>
      <c r="L7" s="32" t="n">
        <v>0.85</v>
      </c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inlineStr">
        <is>
          <t>https://github.com/mhrj7/meterbook/actions/runs/39905115436</t>
        </is>
      </c>
      <c r="R7" s="31" t="inlineStr">
        <is>
          <t>Green CI run on PR #3: 3.3 min wall clock (Terraform job 3.0 min). Done: ci.yml (Terraform fmt/validate/test/tflint/trivy, Gitleaks, actionlint, single ci check), reusable container.yml (Trivy CRITICAL gate, SBOM, cosign), Terraform plan/apply via OIDC, SHA-pinned actions, Dependabot, ADR-0003. Remaining: CRITICAL-CVE gate exercised by the first service image (MB-T07).</t>
        </is>
      </c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Pass</t>
        </is>
      </c>
      <c r="L9" s="34" t="n">
        <v>46318</v>
      </c>
      <c r="M9" s="31" t="inlineStr">
        <is>
          <t>0 findings across full history</t>
        </is>
      </c>
      <c r="N9" s="31" t="n"/>
      <c r="O9" s="31" t="inlineStr">
        <is>
          <t>https://github.com/mhrj7/meterbook/actions/runs/39905115436</t>
        </is>
      </c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>
        <v>3.3</v>
      </c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inlineStr">
        <is>
          <t>39905115436</t>
        </is>
      </c>
      <c r="L5" s="34" t="n">
        <v>46318</v>
      </c>
      <c r="M5" s="31" t="inlineStr">
        <is>
          <t>https://github.com/mhrj7/meterbook/actions/runs/39905115436</t>
        </is>
      </c>
      <c r="N5" s="31" t="inlineStr">
        <is>
          <t>Wall clock from run created to last job completed, PR #3.</t>
        </is>
      </c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Mohit Raj</dc:creator>
  <dcterms:created xsi:type="dcterms:W3CDTF">2026-10-23T04:31:18Z</dcterms:created>
  <dcterms:modified xsi:type="dcterms:W3CDTF">2026-10-23T10:56:22Z</dcterms:modified>
  <cp:lastModifiedBy>Mohit Raj</cp:lastModifiedBy>
</cp:coreProperties>
</file>