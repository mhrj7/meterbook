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<sst xmlns="http://schemas.openxmlformats.org/spreadsheetml/2006/main" count="1923" uniqueCount="1025">
  <si>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</si>
  <si>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</si>
  <si>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</si>
  <si>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</si>
  <si>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</si>
  <si>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</si>
  <si>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</si>
  <si>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</si>
  <si>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</si>
  <si>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</si>
  <si>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</si>
  <si>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</si>
  <si>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</si>
  <si>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</si>
  <si>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</si>
  <si>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</si>
  <si>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</si>
  <si>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</si>
  <si>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</si>
  <si>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</si>
  <si>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</si>
  <si>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</si>
  <si>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</si>
  <si>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</si>
  <si>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</si>
  <si>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</si>
  <si>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</si>
  <si>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</si>
  <si>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</si>
  <si>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</si>
  <si>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</si>
  <si>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</si>
  <si>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</si>
  <si>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</si>
  <si>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</si>
  <si>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</si>
  <si>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</si>
  <si>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</si>
  <si>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</si>
  <si>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</si>
  <si>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</si>
  <si>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</si>
  <si>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</si>
  <si>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</si>
  <si>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</si>
  <si>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</si>
  <si>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</si>
  <si>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</si>
  <si>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</si>
  <si>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</si>
  <si>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</si>
  <si>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</si>
  <si>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</si>
  <si>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</si>
  <si>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</si>
  <si>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</si>
  <si>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</si>
  <si>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</si>
  <si>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</si>
  <si>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</si>
  <si>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</si>
  <si>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</si>
  <si>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</si>
  <si>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</si>
  <si>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</si>
  <si>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</si>
  <si>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</si>
  <si>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</si>
  <si>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</si>
  <si>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</si>
  <si>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</si>
  <si>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</si>
  <si>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</si>
  <si>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</si>
  <si>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</si>
  <si>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</si>
  <si>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</si>
  <si>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</si>
  <si>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</si>
  <si>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</si>
  <si>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</si>
  <si>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</si>
  <si>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</si>
  <si>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</si>
  <si>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</si>
  <si>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</si>
  <si>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</si>
  <si>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</si>
  <si>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</si>
  <si>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</si>
  <si>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</si>
  <si>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</si>
  <si>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</si>
  <si>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</si>
  <si>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</si>
  <si>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</si>
  <si>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</si>
  <si>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</si>
  <si>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</si>
  <si>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</si>
  <si>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</si>
  <si>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</si>
  <si>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</si>
  <si>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</si>
  <si>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</si>
  <si>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</si>
  <si>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</si>
  <si>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</si>
  <si>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</si>
  <si>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</si>
  <si>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</si>
  <si>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</si>
  <si>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</si>
  <si>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</si>
  <si>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</si>
  <si>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</si>
  <si>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</si>
  <si>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</si>
  <si>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</si>
  <si>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</si>
  <si>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</si>
  <si>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</si>
  <si>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</si>
  <si>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</si>
  <si>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</si>
  <si>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</si>
  <si>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</si>
  <si>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</si>
  <si>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</si>
  <si>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</si>
  <si>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</si>
  <si>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</si>
  <si>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</si>
  <si>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</si>
  <si>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</si>
  <si>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</si>
  <si>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</si>
  <si>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</si>
  <si>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</si>
  <si>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</si>
  <si>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</si>
  <si>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</si>
  <si>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</si>
  <si>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</si>
  <si>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</si>
  <si>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</si>
  <si>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</si>
  <si>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</si>
  <si>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</si>
  <si>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</si>
  <si>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</si>
  <si>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</si>
  <si>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</si>
  <si>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</si>
  <si>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</si>
  <si>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</si>
  <si>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</si>
  <si>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</si>
  <si>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</si>
  <si>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</si>
  <si>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</si>
  <si>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</si>
  <si>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</si>
  <si>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</si>
  <si>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</si>
  <si>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</si>
  <si>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</si>
  <si>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</si>
  <si>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</si>
  <si>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</si>
  <si>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</si>
  <si>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</si>
  <si>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</si>
  <si>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</si>
  <si>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</si>
  <si>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</si>
  <si>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</si>
  <si>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</si>
  <si>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</si>
  <si>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</si>
  <si>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</si>
  <si>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</si>
  <si>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</si>
  <si>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</si>
  <si>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</si>
  <si>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</si>
  <si>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</si>
  <si>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</si>
  <si>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</si>
  <si>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</si>
  <si>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 | 2026-10-25: SAST (CodeQL, Semgrep) and linters (SpotBugs, ruff, ShellCheck) added (TC-PLT-005/013); images also carry classic signatures for admission.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</si>
  <si>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</si>
  <si>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</si>
  <si>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</si>
  <si>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</si>
  <si>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 | 2026-10-25: admission verifies signatures (ADR-0012, policy-controller); prod has identity, mesh, smoke and image policy, promoted; prod e2e on kind in CI.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</si>
  <si>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</si>
  <si>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</si>
  <si>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</si>
  <si>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</si>
  <si>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</si>
  <si>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 | 2026-10-25: Keycloak and identity run 2 replicas with PDBs in prod and dev; Keycloak clustering verified on EKS.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</si>
  <si>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</si>
  <si>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</si>
  <si>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</si>
  <si>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</si>
  <si>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https://github.com/mhrj7/meterbook/actions/runs/40079839501</t>
  </si>
  <si>
    <t xml:space="preserve">DoD: cross-tenant access fails closed, in CI on every identity change (RowLevelSecurityTest, ProjectApiTest) and on RDS through EKS (run 40079839501: 83/83 checks, 107 resources applied and destroyed). With no tenant scope, identity_dev sees 0 tenants on RDS right after one was created, and its inserts are refused. Built: ADR-0009; tenant &gt; project &gt; environment (new projects get production/live and sandbox/test; limits 100/20; per-tenant slugs); FORCE row-level security on every tenant table, keyed on a transaction-local app.tenant_id via TenantScope, plus a narrow logged platform scope; a guard test fails the build if a table skips RLS; tests run as a NOSUPERUSER NOBYPASSRLS role; /v1/projects API with two isolation layers; 176 tests (97.4% line / 87.0% branch). Found and fixed: scope restore masking the original DB error; reserved connection slots under a non-superuser; duplicated kubectl output failing correct EKS checks. Evidence: docs/evidence/2026-10-24-tenancy-row-level-security.md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</si>
  <si>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</si>
  <si>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</si>
  <si>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</si>
  <si>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</si>
  <si>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https://github.com/mhrj7/meterbook/actions/runs/40085243536</t>
  </si>
  <si>
    <t xml:space="preserve">DoD: a revoked key is rejected on the very next request by identity (API test and browser e2e with a real Keycloak tenant admin, CI run 40084140187); other services may cache a verification for at most 30 s (Cache-Control: max-age=30; refusals no-store), so every service rejects it within 30 s. On EKS (run 40085243536): 87/87 checks, 107 resources applied and destroyed; /v1/api-key refuses no credentials, unknown keys and access tokens with no-store; V6 on RDS under forced RLS. Built: ADR-0010; keys mb_live_/mb_test_ + 238 random bits + CRC-32, SHA-256 at rest, shown once, never in idempotency records; one environment per key; scopes from a fixed vocabulary; expiry; rotation with a grace period; immediate revocation; 50 live keys per environment; last_used_at; keys cannot call the admin API. 193 tests (97.5% line / 87.1% branch). Found and fixed: timestamps serialised in the JVM zone instead of UTC; 500 for a non-key authentication on /v1/api-key; expired keys counting toward the limit; jOOQ self-reference clash. Evidence: docs/evidence/2026-10-24-api-keys.md | 2026-10-25: a real tenant admin signs in on EKS (PKCE) and a revoked key is rejected there.</t>
  </si>
  <si>
    <t xml:space="preserve">MB-T10</t>
  </si>
  <si>
    <t xml:space="preserve">Service mesh mTLS (Linkerd or Istio)</t>
  </si>
  <si>
    <t xml:space="preserve">Plaintext pod-to-pod traffic rejected</t>
  </si>
  <si>
    <t xml:space="preserve">https://github.com/mhrj7/meterbook/actions/runs/40091917398</t>
  </si>
  <si>
    <t xml:space="preserve">DoD: plaintext pod-to-pod traffic is rejected. A pod outside the mesh, in the same namespace (admitted by the NetworkPolicy), is refused by strict mTLS; ztunnel logs 'explicitly denied by: istio-system/istio_converted_static_strict', asserted in the GitOps e2e on kind (CI run 40089193779, 34/34) and on EKS (run 40091917398: 107/107, 107 resources applied and destroyed). Control experiment: PERMISSIVE let the same plaintext pod through, STRICT refused it. In-mesh traffic carries SPIFFE identities, incl. identity -&gt; Keycloak as spiffe://cluster.local/ns/meterbook-dev/sa/identity. Built: ADR-0011 (Linkerd vs Istio sidecars vs Istio ambient); Istio 1.31.3 ambient via ArgoCD (charts from ghcr.io OCI, images from mirror.gcr.io); platform-mesh chart (STRICT, namespace enrolment from Git, never pruned); NetworkPolicies admit HBONE 15008 and mesh probe address only; render tests. Found and fixed: Istio 1.31 left gcr.io; ambient needs 15008 and 169.254.7.127 in NetworkPolicies; in-cluster verification lost output (kubectl run -i race), now run to completion and read from logs. Prod gets the mesh with its environment. Evidence: docs/evidence/2026-10-24-service-mesh-mtls.md | 2026-10-25: TC-PLT-020 added; mTLS identities proven from ztunnel metrics; prod gets the mesh.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</si>
  <si>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</si>
  <si>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</si>
  <si>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</si>
  <si>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</si>
  <si>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Not Started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</si>
  <si>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</si>
  <si>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</si>
  <si>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</si>
  <si>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</si>
  <si>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</si>
  <si>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</si>
  <si>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</si>
  <si>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</si>
  <si>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</si>
  <si>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</si>
  <si>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</si>
  <si>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</si>
  <si>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</si>
  <si>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</si>
  <si>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</si>
  <si>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</si>
  <si>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</si>
  <si>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</si>
  <si>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</si>
  <si>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</si>
  <si>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</si>
  <si>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</si>
  <si>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</si>
  <si>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</si>
  <si>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</si>
  <si>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</si>
  <si>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</si>
  <si>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</si>
  <si>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</si>
  <si>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</si>
  <si>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</si>
  <si>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</si>
  <si>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</si>
  <si>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</si>
  <si>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</si>
  <si>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</si>
  <si>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</si>
  <si>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</si>
  <si>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</si>
  <si>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</si>
  <si>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</si>
  <si>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</si>
  <si>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</si>
  <si>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</si>
  <si>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</si>
  <si>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</si>
  <si>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</si>
  <si>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</si>
  <si>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</si>
  <si>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</si>
  <si>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</si>
  <si>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</si>
  <si>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</si>
  <si>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</si>
  <si>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</si>
  <si>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</si>
  <si>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</si>
  <si>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</si>
  <si>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</si>
  <si>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</si>
  <si>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</si>
  <si>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</si>
  <si>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</si>
  <si>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</si>
  <si>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</si>
  <si>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</si>
  <si>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</si>
  <si>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</si>
  <si>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</si>
  <si>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</si>
  <si>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</si>
  <si>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</si>
  <si>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</si>
  <si>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</si>
  <si>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</si>
  <si>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</si>
  <si>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</si>
  <si>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</si>
  <si>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</si>
  <si>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</si>
  <si>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</si>
  <si>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</si>
  <si>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</si>
  <si>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</si>
  <si>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</si>
  <si>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</si>
  <si>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</si>
  <si>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</si>
  <si>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</si>
  <si>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</si>
  <si>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</si>
  <si>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</si>
  <si>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</si>
  <si>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</si>
  <si>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</si>
  <si>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</si>
  <si>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</si>
  <si>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</si>
  <si>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</si>
  <si>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</si>
  <si>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</si>
  <si>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</si>
  <si>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</si>
  <si>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</si>
  <si>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</si>
  <si>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</si>
  <si>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</si>
  <si>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</si>
  <si>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</si>
  <si>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</si>
  <si>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</si>
  <si>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</si>
  <si>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</si>
  <si>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</si>
  <si>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</si>
  <si>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</si>
  <si>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</si>
  <si>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</si>
  <si>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</si>
  <si>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</si>
  <si>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</si>
  <si>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</si>
  <si>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</si>
  <si>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</si>
  <si>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</si>
  <si>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</si>
  <si>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</si>
  <si>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</si>
  <si>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</si>
  <si>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</si>
  <si>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</si>
  <si>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</si>
  <si>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</si>
  <si>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</si>
  <si>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</si>
  <si>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</si>
  <si>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</si>
  <si>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</si>
  <si>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</si>
  <si>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</si>
  <si>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</si>
  <si>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</si>
  <si>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</si>
  <si>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</si>
  <si>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</si>
  <si>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</si>
  <si>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</si>
  <si>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</si>
  <si>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</si>
  <si>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</si>
  <si>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</si>
  <si>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</si>
  <si>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</si>
  <si>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</si>
  <si>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</si>
  <si>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</si>
  <si>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</si>
  <si>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</si>
  <si>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</si>
  <si>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</si>
  <si>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</si>
  <si>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</si>
  <si>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</si>
  <si>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</si>
  <si>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</si>
  <si>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</si>
  <si>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</si>
  <si>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</si>
  <si>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</si>
  <si>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</si>
  <si>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</si>
  <si>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</si>
  <si>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</si>
  <si>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</si>
  <si>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</si>
  <si>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</si>
  <si>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</si>
  <si>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</si>
  <si>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</si>
  <si>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</si>
  <si>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</si>
  <si>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</si>
  <si>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</si>
  <si>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</si>
  <si>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</si>
  <si>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</si>
  <si>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</si>
  <si>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</si>
  <si>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</si>
  <si>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</si>
  <si>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</si>
  <si>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</si>
  <si>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</si>
  <si>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</si>
  <si>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</si>
  <si>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</si>
  <si>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</si>
  <si>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</si>
  <si>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</si>
  <si>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</si>
  <si>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</si>
  <si>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</si>
  <si>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</si>
  <si>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</si>
  <si>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</si>
  <si>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</si>
  <si>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</si>
  <si>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</si>
  <si>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</si>
  <si>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</si>
  <si>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</si>
  <si>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</si>
  <si>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</si>
  <si>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</si>
  <si>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</si>
  <si>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</si>
  <si>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</si>
  <si>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</si>
  <si>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</si>
  <si>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</si>
  <si>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</si>
  <si>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</si>
  <si>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</si>
  <si>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</si>
  <si>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</si>
  <si>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</si>
  <si>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</si>
  <si>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</si>
  <si>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</si>
  <si>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</si>
  <si>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</si>
  <si>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</si>
  <si>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</si>
  <si>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</si>
  <si>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</si>
  <si>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</si>
  <si>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</si>
  <si>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</si>
  <si>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</si>
  <si>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</si>
  <si>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</si>
  <si>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</si>
  <si>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</si>
  <si>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</si>
  <si>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</si>
  <si>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</si>
  <si>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</si>
  <si>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</si>
  <si>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</si>
  <si>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</si>
  <si>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</si>
  <si>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</si>
  <si>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</si>
  <si>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</si>
  <si>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</si>
  <si>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</si>
  <si>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</si>
  <si>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</si>
  <si>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</si>
  <si>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</si>
  <si>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</si>
  <si>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</si>
  <si>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</si>
  <si>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</si>
  <si>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</si>
  <si>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</si>
  <si>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</si>
  <si>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</si>
  <si>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</si>
  <si>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</si>
  <si>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</si>
  <si>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</si>
  <si>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</si>
  <si>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</si>
  <si>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</si>
  <si>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</si>
  <si>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</si>
  <si>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</si>
  <si>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</si>
  <si>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</si>
  <si>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</si>
  <si>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</si>
  <si>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</si>
  <si>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</si>
  <si>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</si>
  <si>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</si>
  <si>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</si>
  <si>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</si>
  <si>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</si>
  <si>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</si>
  <si>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</si>
  <si>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</si>
  <si>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</si>
  <si>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</si>
  <si>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</si>
  <si>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</si>
  <si>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</si>
  <si>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</si>
  <si>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</si>
  <si>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</si>
  <si>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</si>
  <si>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</si>
  <si>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</si>
  <si>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</si>
  <si>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</si>
  <si>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</si>
  <si>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</si>
  <si>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</si>
  <si>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</si>
  <si>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</si>
  <si>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</si>
  <si>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</si>
  <si>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</si>
  <si>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</si>
  <si>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</si>
  <si>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</si>
  <si>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</si>
  <si>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</si>
  <si>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</si>
  <si>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</si>
  <si>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</si>
  <si>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</si>
  <si>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</si>
  <si>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</si>
  <si>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</si>
  <si>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</si>
  <si>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</si>
  <si>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</si>
  <si>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</si>
  <si>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</si>
  <si>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</si>
  <si>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</si>
  <si>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</si>
  <si>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</si>
  <si>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</si>
  <si>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</si>
  <si>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</si>
  <si>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</si>
  <si>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</si>
  <si>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</si>
  <si>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</si>
  <si>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</si>
  <si>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</si>
  <si>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</si>
  <si>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</si>
  <si>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</si>
  <si>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</si>
  <si>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</si>
  <si>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</si>
  <si>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</si>
  <si>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</si>
  <si>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</si>
  <si>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</si>
  <si>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</si>
  <si>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</si>
  <si>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</si>
  <si>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</si>
  <si>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</si>
  <si>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</si>
  <si>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</si>
  <si>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</si>
  <si>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</si>
  <si>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</si>
  <si>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</si>
  <si>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</si>
  <si>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</si>
  <si>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</si>
  <si>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</si>
  <si>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</si>
  <si>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</si>
  <si>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</si>
  <si>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</si>
  <si>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</si>
  <si>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</si>
  <si>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</si>
  <si>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</si>
  <si>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</si>
  <si>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</si>
  <si>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</si>
  <si>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</si>
  <si>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</si>
  <si>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</si>
  <si>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</si>
  <si>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</si>
  <si>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</si>
  <si>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</si>
  <si>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</si>
  <si>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Isolation parts pass: tenant B gets 404 on every A project/environment route and its writes change nothing; RLS returns 0 rows and refuses writes with no scope, in CI and on RDS. Audit event not yet built (MB-T11), so the case stays Blocked until then.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</si>
  <si>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</si>
  <si>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</si>
  <si>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</si>
  <si>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</si>
  <si>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401 on the very next request after revocation, in the API test and in the browser e2e with a real Keycloak tenant admin; callers cache at most 30 s (max-age=30), refusals are no-store; EKS checks pass</t>
  </si>
  <si>
    <t xml:space="preserve">https://github.com/mhrj7/meterbook/actions/runs/40084140187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</si>
  <si>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</si>
  <si>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</si>
  <si>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</si>
  <si>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</si>
  <si>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</si>
  <si>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</si>
  <si>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</si>
  <si>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</si>
  <si>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CodeQL (security-extended; Java, Python, Actions) on every PR, main and weekly: 0 high/critical (a finding &gt;= 7.0 fails the run); Semgrep p/default on every change: 0 errors/warnings</t>
  </si>
  <si>
    <t xml:space="preserve">https://github.com/mhrj7/meterbook/actions/runs/40122321805</t>
  </si>
  <si>
    <t xml:space="preserve">TC-PLT-006</t>
  </si>
  <si>
    <t xml:space="preserve">Trivy scan of all images</t>
  </si>
  <si>
    <t xml:space="preserve">Trivy</t>
  </si>
  <si>
    <t xml:space="preserve">0 CRITICAL, including unfixed, in all 4 deployed images (identity, Keycloak, db-bootstrap, smoke; Trivy 0.76.1, OS packages, jars, Go binaries); CI fails on fixable CRITICAL</t>
  </si>
  <si>
    <t xml:space="preserve">https://github.com/mhrj7/meterbook/actions/runs/40115148732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</si>
  <si>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</si>
  <si>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</si>
  <si>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</si>
  <si>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</si>
  <si>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</si>
  <si>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</si>
  <si>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</si>
  <si>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</si>
  <si>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</si>
  <si>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</si>
  <si>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</si>
  <si>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</si>
  <si>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</si>
  <si>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</si>
  <si>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</si>
  <si>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</si>
  <si>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</si>
  <si>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</si>
  <si>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</si>
  <si>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</si>
  <si>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</si>
  <si>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</si>
  <si>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</si>
  <si>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</si>
  <si>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</si>
  <si>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</si>
  <si>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</si>
  <si>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</si>
  <si>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</si>
  <si>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This repo has Java, Python and shell (no Go or Rust): SpotBugs in ./gradlew check (found and fixed 5 real bugs; any finding fails), ruff and ShellCheck on every change; ci requires the job</t>
  </si>
  <si>
    <t xml:space="preserve">https://github.com/mhrj7/meterbook/actions/runs/40122321801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</si>
  <si>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</si>
  <si>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</si>
  <si>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</si>
  <si>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</si>
  <si>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</si>
  <si>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</si>
  <si>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</si>
  <si>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</si>
  <si>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</si>
  <si>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</si>
  <si>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</si>
  <si>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</si>
  <si>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</si>
  <si>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</si>
  <si>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</si>
  <si>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</si>
  <si>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</si>
  <si>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</si>
  <si>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</si>
  <si>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</si>
  <si>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</si>
  <si>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</si>
  <si>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</si>
  <si>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</si>
  <si>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</si>
  <si>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</si>
  <si>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</si>
  <si>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</si>
  <si>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</si>
  <si>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</si>
  <si>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</si>
  <si>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</si>
  <si>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</si>
  <si>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</si>
  <si>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</si>
  <si>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</si>
  <si>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</si>
  <si>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</si>
  <si>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</si>
  <si>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</si>
  <si>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</si>
  <si>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</si>
  <si>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</si>
  <si>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</si>
  <si>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</si>
  <si>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</si>
  <si>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</si>
  <si>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</si>
  <si>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</si>
  <si>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</si>
  <si>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</si>
  <si>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</si>
  <si>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</si>
  <si>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</si>
  <si>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</si>
  <si>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</si>
  <si>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</si>
  <si>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</si>
  <si>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</si>
  <si>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</si>
  <si>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</si>
  <si>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</si>
  <si>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</si>
  <si>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</si>
  <si>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</si>
  <si>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</si>
  <si>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</si>
  <si>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</si>
  <si>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</si>
  <si>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</si>
  <si>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</si>
  <si>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</si>
  <si>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</si>
  <si>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</si>
  <si>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</si>
  <si>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</si>
  <si>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</si>
  <si>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</si>
  <si>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</si>
  <si>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</si>
  <si>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</si>
  <si>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</si>
  <si>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</si>
  <si>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</si>
  <si>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</si>
  <si>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</si>
  <si>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</si>
  <si>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</si>
  <si>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</si>
  <si>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</si>
  <si>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</si>
  <si>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</si>
  <si>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</si>
  <si>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</si>
  <si>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</si>
  <si>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</si>
  <si>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</si>
  <si>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</si>
  <si>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</si>
  <si>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</si>
  <si>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</si>
  <si>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</si>
  <si>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</si>
  <si>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</si>
  <si>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</si>
  <si>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</si>
  <si>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</si>
  <si>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</si>
  <si>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</si>
  <si>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</si>
  <si>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</si>
  <si>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</si>
  <si>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</si>
  <si>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</si>
  <si>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</si>
  <si>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</si>
  <si>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</si>
  <si>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</si>
  <si>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</si>
  <si>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</si>
  <si>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</si>
  <si>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</si>
  <si>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</si>
  <si>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</si>
  <si>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</si>
  <si>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</si>
  <si>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</si>
  <si>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TC-PLT-020</t>
  </si>
  <si>
    <t xml:space="preserve">Service mesh</t>
  </si>
  <si>
    <t xml:space="preserve">Plaintext request from a pod outside the mesh to a meshed service in the same namespace (NetworkPolicy admits it)</t>
  </si>
  <si>
    <t xml:space="preserve">Refused by strict mTLS (ztunnel names the strict policy); in-mesh calls carry SPIFFE identities</t>
  </si>
  <si>
    <t xml:space="preserve">kind e2e + EKS verify</t>
  </si>
  <si>
    <t xml:space="preserve">Refused with "explicitly denied by istio-system/istio_converted_static_strict"; PERMISSIVE control let the same pod through; identity -&gt; Keycloak counted as mutual_tls from spiffe://cluster.local/ns/meterbook-dev/sa/identity (EKS 123/123)</t>
  </si>
  <si>
    <t xml:space="preserve">https://github.com/mhrj7/meterbook/actions/runs/40117597732</t>
  </si>
  <si>
    <t xml:space="preserve">TC-PLT-021</t>
  </si>
  <si>
    <t xml:space="preserve">Admission</t>
  </si>
  <si>
    <t xml:space="preserve">Deploy an image not signed by container.yml on main into an application namespace</t>
  </si>
  <si>
    <t xml:space="preserve">Refused at admission; every pinned image admitted</t>
  </si>
  <si>
    <t xml:space="preserve">Unsigned busybox refused ("no matching policies") in meterbook-*, allowed outside; all 4 pinned images pass a server-side dry run through the policy (EKS 123/123)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</si>
  <si>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</si>
  <si>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</si>
  <si>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</si>
  <si>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</si>
  <si>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</si>
  <si>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</si>
  <si>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</si>
  <si>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</si>
  <si>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</si>
  <si>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</si>
  <si>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</si>
  <si>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</si>
  <si>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</si>
  <si>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</si>
  <si>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</si>
  <si>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</si>
  <si>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</si>
  <si>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</si>
  <si>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</si>
  <si>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</si>
  <si>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</si>
  <si>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</si>
  <si>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</si>
  <si>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</si>
  <si>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</si>
  <si>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</si>
  <si>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</si>
  <si>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</si>
  <si>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</si>
  <si>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</si>
  <si>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</si>
  <si>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</si>
  <si>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</si>
  <si>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</si>
  <si>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</si>
  <si>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</si>
  <si>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</si>
  <si>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</si>
  <si>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</si>
  <si>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</si>
  <si>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</si>
  <si>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</si>
  <si>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Trivy 0.76.1 on the 4 pinned images</t>
  </si>
  <si>
    <t xml:space="preserve">docs/evidence/2026-10-25-baseline-gaps.md</t>
  </si>
  <si>
    <t xml:space="preserve">CRITICAL including unfixed; CI blocks fixable CRITICAL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</si>
  <si>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</si>
  <si>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</si>
  <si>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</si>
  <si>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</si>
  <si>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</si>
  <si>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</si>
  <si>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</si>
  <si>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</si>
  <si>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</si>
  <si>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</si>
  <si>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</si>
  <si>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</si>
  <si>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</si>
  <si>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</si>
  <si>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</si>
  <si>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</si>
  <si>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</si>
  <si>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</si>
  <si>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</si>
  <si>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</si>
  <si>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</si>
  <si>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</si>
  <si>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</si>
  <si>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</si>
  <si>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</si>
  <si>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</si>
  <si>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</si>
  <si>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</si>
  <si>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</si>
  <si>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</si>
  <si>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</si>
  <si>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</si>
  <si>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</si>
  <si>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</si>
  <si>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</si>
  <si>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</si>
  <si>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</si>
  <si>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</si>
  <si>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</si>
  <si>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</si>
  <si>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</si>
  <si>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</si>
  <si>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</si>
  <si>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</si>
  <si>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</si>
  <si>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</si>
  <si>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</si>
  <si>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</si>
  <si>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</si>
  <si>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</si>
  <si>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</si>
  <si>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</si>
  <si>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</si>
  <si>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</si>
  <si>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</si>
  <si>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</si>
  <si>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</si>
  <si>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</si>
  <si>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</si>
  <si>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</si>
  <si>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</si>
  <si>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</si>
  <si>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</si>
  <si>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</si>
  <si>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</si>
  <si>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</si>
  <si>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</si>
  <si>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</si>
  <si>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</si>
  <si>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</si>
  <si>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</si>
  <si>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</si>
  <si>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</si>
  <si>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</si>
  <si>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</si>
  <si>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</si>
  <si>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</si>
  <si>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</si>
  <si>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</si>
  <si>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</si>
  <si>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</si>
  <si>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</si>
  <si>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</si>
  <si>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</si>
  <si>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</si>
  <si>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</si>
  <si>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</si>
  <si>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</si>
  <si>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</si>
  <si>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</si>
  <si>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</si>
  <si>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</si>
  <si>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</si>
  <si>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</si>
  <si>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</si>
  <si>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</si>
  <si>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</si>
  <si>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</si>
  <si>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</si>
  <si>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</si>
  <si>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</si>
  <si>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</si>
  <si>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</si>
  <si>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</si>
  <si>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</si>
  <si>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</si>
  <si>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</si>
  <si>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</si>
  <si>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</si>
  <si>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</si>
  <si>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</si>
  <si>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</si>
  <si>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</si>
  <si>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</si>
  <si>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</si>
  <si>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</si>
  <si>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</si>
  <si>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</si>
  <si>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</si>
  <si>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</si>
  <si>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</si>
  <si>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</si>
  <si>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</si>
  <si>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</si>
  <si>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</si>
  <si>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</si>
  <si>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</si>
  <si>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</si>
  <si>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</si>
  <si>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</si>
  <si>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</si>
  <si>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</si>
  <si>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</si>
  <si>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</si>
  <si>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</si>
  <si>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</si>
  <si>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</si>
  <si>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</si>
  <si>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</si>
  <si>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</si>
  <si>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</si>
  <si>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</si>
  <si>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</si>
  <si>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</si>
  <si>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</si>
  <si>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</si>
  <si>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</si>
  <si>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</si>
  <si>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</si>
  <si>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https://github.com/mhrj7/meterbook/actions/runs/40120018649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</si>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</sst>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10</v>
      </c>
      <c r="C8" s="18" t="n">
        <f aca="false">COUNTIFS(Plan!$B$2:$B$600,C$4,Plan!$K$2:$K$600,"Done")</f>
        <v>0</v>
      </c>
      <c r="D8" s="19" t="n">
        <f aca="false">SUM(B8:C8)</f>
        <v>10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104</v>
      </c>
      <c r="C13" s="20" t="n">
        <f aca="false">SUMPRODUCT((Plan!$B$2:$B$600=C$4)*Plan!$G$2:$G$600*Plan!$M$2:$M$600)</f>
        <v>0</v>
      </c>
      <c r="D13" s="21" t="n">
        <f aca="false">SUM(B13:C13)</f>
        <v>104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0.693333333333333</v>
      </c>
      <c r="C14" s="22" t="n">
        <f aca="false">IFERROR(C13/C12,0)</f>
        <v>0</v>
      </c>
      <c r="D14" s="22" t="n">
        <f aca="false">IFERROR(D13/D12,0)</f>
        <v>0.241860465116279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21</v>
      </c>
      <c r="C17" s="18" t="n">
        <f aca="false">COUNTIF(Test_Cases!$B$2:$B$600,C$4)</f>
        <v>26</v>
      </c>
      <c r="D17" s="19" t="n">
        <f aca="false">SUM(B17:C17)</f>
        <v>47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9</v>
      </c>
      <c r="C18" s="18" t="n">
        <f aca="false">COUNTIFS(Test_Cases!$B$2:$B$600,C$4,Test_Cases!$K$2:$K$600,"Pass")</f>
        <v>0</v>
      </c>
      <c r="D18" s="19" t="n">
        <f aca="false">SUM(B18:C18)</f>
        <v>9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1</v>
      </c>
      <c r="C20" s="18" t="n">
        <f aca="false">COUNTIFS(Test_Cases!$B$2:$B$600,C$4,Test_Cases!$K$2:$K$600,"Blocked")</f>
        <v>0</v>
      </c>
      <c r="D20" s="19" t="n">
        <f aca="false">SUM(B20:C20)</f>
        <v>1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11</v>
      </c>
      <c r="C21" s="18" t="n">
        <f aca="false">COUNTIFS(Test_Cases!$B$2:$B$600,C$4,Test_Cases!$K$2:$K$600,"Not Run")</f>
        <v>26</v>
      </c>
      <c r="D21" s="19" t="n">
        <f aca="false">SUM(B21:C21)</f>
        <v>37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0.476190476190476</v>
      </c>
      <c r="C22" s="22" t="n">
        <f aca="false">IFERROR((C17-C21)/C17,0)</f>
        <v>0</v>
      </c>
      <c r="D22" s="22" t="n">
        <f aca="false">IFERROR((D17-D21)/D17,0)</f>
        <v>0.212765957446809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2</v>
      </c>
      <c r="C28" s="18" t="n">
        <f aca="false">COUNTIFS(Metrics_SLOs!$B$2:$B$600,C$4,Metrics_SLOs!$I$2:$I$600,"PASS")</f>
        <v>0</v>
      </c>
      <c r="D28" s="19" t="n">
        <f aca="false">SUM(B28:C28)</f>
        <v>2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7</v>
      </c>
      <c r="C30" s="18" t="n">
        <f aca="false">COUNTIFS(Metrics_SLOs!$B$2:$B$600,C$4,Metrics_SLOs!$I$2:$I$600,"PENDING")</f>
        <v>12</v>
      </c>
      <c r="D30" s="19" t="n">
        <f aca="false">SUM(B30:C30)</f>
        <v>19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2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2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1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0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1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0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2</v>
      </c>
      <c r="D83" s="27" t="n">
        <f aca="false">COUNTIFS(Test_Cases!$C$2:$C$600,A83,Test_Cases!$K$2:$K$600,"Pass")-COUNTIFS(Test_Cases!$C$2:$C$600,A83,Test_Cases!$K$2:$K$600,"Pass",Test_Cases!$B$2:$B$600,"EXAMPLE")</f>
        <v>2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4</v>
      </c>
      <c r="D86" s="27" t="n">
        <f aca="false">COUNTIFS(Test_Cases!$C$2:$C$600,A86,Test_Cases!$K$2:$K$600,"Pass")-COUNTIFS(Test_Cases!$C$2:$C$600,A86,Test_Cases!$K$2:$K$600,"Pass",Test_Cases!$B$2:$B$600,"EXAMPLE")</f>
        <v>2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1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{335289DB-DB61-408A-87EF-B07A376756B3}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{C979CEB7-F435-4329-AD6E-5EECE5235CCE}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{14D6A86A-A5CA-43DB-BABA-C785A5B749CE}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{86D04ABD-1823-45B5-A3D3-DA6F2BA3C52F}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5289DB-DB61-408A-87EF-B07A376756B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C979CEB7-F435-4329-AD6E-5EECE5235CC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14D6A86A-A5CA-43DB-BABA-C785A5B749C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86D04ABD-1823-45B5-A3D3-DA6F2BA3C52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57</v>
      </c>
      <c r="L10" s="34" t="n">
        <v>1</v>
      </c>
      <c r="M10" s="35" t="n">
        <f aca="false">IF(K10="Done",1,IF(L10="",0,MIN(1,L10)))</f>
        <v>1</v>
      </c>
      <c r="N10" s="33"/>
      <c r="O10" s="36" t="n">
        <v>46319</v>
      </c>
      <c r="P10" s="31" t="str">
        <f aca="true">IF(K10="Done",IF(O10="","Done",IF(J10="","Done",IF(O10&lt;=J10,"On time","Late"))),IF(K10="Blocked","BLOCKED",IF(I10="","",IF(TODAY()&gt;J10,"OVERDUE",IF(TODAY()&gt;=I10,"Active","Upcoming")))))</f>
        <v>On time</v>
      </c>
      <c r="Q10" s="33" t="s">
        <v>206</v>
      </c>
      <c r="R10" s="33" t="s">
        <v>207</v>
      </c>
    </row>
    <row r="11" customFormat="false" ht="15" hidden="false" customHeight="true" outlineLevel="0" collapsed="false">
      <c r="A11" s="31" t="s">
        <v>208</v>
      </c>
      <c r="B11" s="31" t="s">
        <v>5</v>
      </c>
      <c r="C11" s="31" t="s">
        <v>209</v>
      </c>
      <c r="D11" s="31" t="s">
        <v>210</v>
      </c>
      <c r="E11" s="31" t="s">
        <v>211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57</v>
      </c>
      <c r="L11" s="34" t="n">
        <v>1</v>
      </c>
      <c r="M11" s="35" t="n">
        <f aca="false">IF(K11="Done",1,IF(L11="",0,MIN(1,L11)))</f>
        <v>1</v>
      </c>
      <c r="N11" s="33"/>
      <c r="O11" s="36" t="n">
        <v>46319</v>
      </c>
      <c r="P11" s="31" t="str">
        <f aca="true">IF(K11="Done",IF(O11="","Done",IF(J11="","Done",IF(O11&lt;=J11,"On time","Late"))),IF(K11="Blocked","BLOCKED",IF(I11="","",IF(TODAY()&gt;J11,"OVERDUE",IF(TODAY()&gt;=I11,"Active","Upcoming")))))</f>
        <v>On time</v>
      </c>
      <c r="Q11" s="33" t="s">
        <v>212</v>
      </c>
      <c r="R11" s="33" t="s">
        <v>213</v>
      </c>
    </row>
    <row r="12" customFormat="false" ht="15" hidden="false" customHeight="true" outlineLevel="0" collapsed="false">
      <c r="A12" s="31" t="s">
        <v>214</v>
      </c>
      <c r="B12" s="31" t="s">
        <v>5</v>
      </c>
      <c r="C12" s="31" t="s">
        <v>209</v>
      </c>
      <c r="D12" s="31" t="s">
        <v>215</v>
      </c>
      <c r="E12" s="31" t="s">
        <v>216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57</v>
      </c>
      <c r="L12" s="34" t="n">
        <v>1</v>
      </c>
      <c r="M12" s="35" t="n">
        <f aca="false">IF(K12="Done",1,IF(L12="",0,MIN(1,L12)))</f>
        <v>1</v>
      </c>
      <c r="N12" s="33"/>
      <c r="O12" s="36" t="n">
        <v>46319</v>
      </c>
      <c r="P12" s="31" t="str">
        <f aca="true">IF(K12="Done",IF(O12="","Done",IF(J12="","Done",IF(O12&lt;=J12,"On time","Late"))),IF(K12="Blocked","BLOCKED",IF(I12="","",IF(TODAY()&gt;J12,"OVERDUE",IF(TODAY()&gt;=I12,"Active","Upcoming")))))</f>
        <v>On time</v>
      </c>
      <c r="Q12" s="33" t="s">
        <v>217</v>
      </c>
      <c r="R12" s="33" t="s">
        <v>218</v>
      </c>
    </row>
    <row r="13" customFormat="false" ht="15" hidden="false" customHeight="true" outlineLevel="0" collapsed="false">
      <c r="A13" s="31" t="s">
        <v>219</v>
      </c>
      <c r="B13" s="31" t="s">
        <v>5</v>
      </c>
      <c r="C13" s="31" t="s">
        <v>220</v>
      </c>
      <c r="D13" s="31" t="s">
        <v>221</v>
      </c>
      <c r="E13" s="31" t="s">
        <v>222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223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224</v>
      </c>
      <c r="B14" s="31" t="s">
        <v>5</v>
      </c>
      <c r="C14" s="31" t="s">
        <v>220</v>
      </c>
      <c r="D14" s="31" t="s">
        <v>225</v>
      </c>
      <c r="E14" s="31" t="s">
        <v>226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223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227</v>
      </c>
      <c r="B15" s="31" t="s">
        <v>5</v>
      </c>
      <c r="C15" s="31" t="s">
        <v>220</v>
      </c>
      <c r="D15" s="31" t="s">
        <v>228</v>
      </c>
      <c r="E15" s="31" t="s">
        <v>229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223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230</v>
      </c>
      <c r="B16" s="31" t="s">
        <v>5</v>
      </c>
      <c r="C16" s="31" t="s">
        <v>231</v>
      </c>
      <c r="D16" s="31" t="s">
        <v>232</v>
      </c>
      <c r="E16" s="31" t="s">
        <v>233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223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234</v>
      </c>
      <c r="B17" s="31" t="s">
        <v>5</v>
      </c>
      <c r="C17" s="31" t="s">
        <v>235</v>
      </c>
      <c r="D17" s="31" t="s">
        <v>236</v>
      </c>
      <c r="E17" s="31" t="s">
        <v>237</v>
      </c>
      <c r="F17" s="31" t="s">
        <v>238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223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239</v>
      </c>
      <c r="B18" s="31" t="s">
        <v>7</v>
      </c>
      <c r="C18" s="31" t="s">
        <v>165</v>
      </c>
      <c r="D18" s="31" t="s">
        <v>240</v>
      </c>
      <c r="E18" s="31" t="s">
        <v>241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223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242</v>
      </c>
      <c r="B19" s="31" t="s">
        <v>7</v>
      </c>
      <c r="C19" s="31" t="s">
        <v>165</v>
      </c>
      <c r="D19" s="31" t="s">
        <v>243</v>
      </c>
      <c r="E19" s="31" t="s">
        <v>244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223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245</v>
      </c>
      <c r="B20" s="31" t="s">
        <v>7</v>
      </c>
      <c r="C20" s="31" t="s">
        <v>165</v>
      </c>
      <c r="D20" s="31" t="s">
        <v>246</v>
      </c>
      <c r="E20" s="31" t="s">
        <v>247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223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248</v>
      </c>
      <c r="B21" s="31" t="s">
        <v>7</v>
      </c>
      <c r="C21" s="31" t="s">
        <v>158</v>
      </c>
      <c r="D21" s="31" t="s">
        <v>249</v>
      </c>
      <c r="E21" s="31" t="s">
        <v>250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223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251</v>
      </c>
      <c r="B22" s="31" t="s">
        <v>7</v>
      </c>
      <c r="C22" s="31" t="s">
        <v>158</v>
      </c>
      <c r="D22" s="31" t="s">
        <v>252</v>
      </c>
      <c r="E22" s="31" t="s">
        <v>253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223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254</v>
      </c>
      <c r="B23" s="31" t="s">
        <v>7</v>
      </c>
      <c r="C23" s="31" t="s">
        <v>158</v>
      </c>
      <c r="D23" s="31" t="s">
        <v>255</v>
      </c>
      <c r="E23" s="31" t="s">
        <v>256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223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257</v>
      </c>
      <c r="B24" s="31" t="s">
        <v>7</v>
      </c>
      <c r="C24" s="31" t="s">
        <v>158</v>
      </c>
      <c r="D24" s="31" t="s">
        <v>258</v>
      </c>
      <c r="E24" s="31" t="s">
        <v>259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223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260</v>
      </c>
      <c r="B25" s="31" t="s">
        <v>7</v>
      </c>
      <c r="C25" s="31" t="s">
        <v>158</v>
      </c>
      <c r="D25" s="31" t="s">
        <v>261</v>
      </c>
      <c r="E25" s="31" t="s">
        <v>262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223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263</v>
      </c>
      <c r="B26" s="31" t="s">
        <v>7</v>
      </c>
      <c r="C26" s="31" t="s">
        <v>158</v>
      </c>
      <c r="D26" s="31" t="s">
        <v>264</v>
      </c>
      <c r="E26" s="31" t="s">
        <v>265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223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266</v>
      </c>
      <c r="B27" s="31" t="s">
        <v>7</v>
      </c>
      <c r="C27" s="31" t="s">
        <v>158</v>
      </c>
      <c r="D27" s="31" t="s">
        <v>267</v>
      </c>
      <c r="E27" s="31" t="s">
        <v>268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223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269</v>
      </c>
      <c r="B28" s="31" t="s">
        <v>7</v>
      </c>
      <c r="C28" s="31" t="s">
        <v>158</v>
      </c>
      <c r="D28" s="31" t="s">
        <v>270</v>
      </c>
      <c r="E28" s="31" t="s">
        <v>271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223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272</v>
      </c>
      <c r="B29" s="31" t="s">
        <v>7</v>
      </c>
      <c r="C29" s="31" t="s">
        <v>158</v>
      </c>
      <c r="D29" s="31" t="s">
        <v>273</v>
      </c>
      <c r="E29" s="31" t="s">
        <v>274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223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275</v>
      </c>
      <c r="B30" s="31" t="s">
        <v>7</v>
      </c>
      <c r="C30" s="31" t="s">
        <v>158</v>
      </c>
      <c r="D30" s="31" t="s">
        <v>276</v>
      </c>
      <c r="E30" s="31" t="s">
        <v>277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223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278</v>
      </c>
      <c r="B31" s="31" t="s">
        <v>7</v>
      </c>
      <c r="C31" s="31" t="s">
        <v>220</v>
      </c>
      <c r="D31" s="31" t="s">
        <v>279</v>
      </c>
      <c r="E31" s="31" t="s">
        <v>280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223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281</v>
      </c>
      <c r="B32" s="31" t="s">
        <v>7</v>
      </c>
      <c r="C32" s="31" t="s">
        <v>220</v>
      </c>
      <c r="D32" s="31" t="s">
        <v>282</v>
      </c>
      <c r="E32" s="31" t="s">
        <v>283</v>
      </c>
      <c r="F32" s="31" t="s">
        <v>238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223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284</v>
      </c>
      <c r="B33" s="31" t="s">
        <v>7</v>
      </c>
      <c r="C33" s="31" t="s">
        <v>285</v>
      </c>
      <c r="D33" s="31" t="s">
        <v>286</v>
      </c>
      <c r="E33" s="31" t="s">
        <v>287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223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288</v>
      </c>
      <c r="B34" s="31" t="s">
        <v>7</v>
      </c>
      <c r="C34" s="31" t="s">
        <v>285</v>
      </c>
      <c r="D34" s="31" t="s">
        <v>289</v>
      </c>
      <c r="E34" s="31" t="s">
        <v>290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223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291</v>
      </c>
      <c r="B35" s="31" t="s">
        <v>7</v>
      </c>
      <c r="C35" s="31" t="s">
        <v>285</v>
      </c>
      <c r="D35" s="31" t="s">
        <v>292</v>
      </c>
      <c r="E35" s="31" t="s">
        <v>293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223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294</v>
      </c>
      <c r="B36" s="31" t="s">
        <v>7</v>
      </c>
      <c r="C36" s="31" t="s">
        <v>285</v>
      </c>
      <c r="D36" s="31" t="s">
        <v>295</v>
      </c>
      <c r="E36" s="31" t="s">
        <v>296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223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297</v>
      </c>
      <c r="B37" s="31" t="s">
        <v>7</v>
      </c>
      <c r="C37" s="31" t="s">
        <v>209</v>
      </c>
      <c r="D37" s="31" t="s">
        <v>298</v>
      </c>
      <c r="E37" s="31" t="s">
        <v>299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223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300</v>
      </c>
      <c r="B38" s="31" t="s">
        <v>7</v>
      </c>
      <c r="C38" s="31" t="s">
        <v>235</v>
      </c>
      <c r="D38" s="31" t="s">
        <v>301</v>
      </c>
      <c r="E38" s="31" t="s">
        <v>302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223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303</v>
      </c>
      <c r="B39" s="31" t="s">
        <v>7</v>
      </c>
      <c r="C39" s="31" t="s">
        <v>304</v>
      </c>
      <c r="D39" s="31" t="s">
        <v>305</v>
      </c>
      <c r="E39" s="31" t="s">
        <v>306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223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307</v>
      </c>
      <c r="B40" s="31" t="s">
        <v>7</v>
      </c>
      <c r="C40" s="31" t="s">
        <v>304</v>
      </c>
      <c r="D40" s="31" t="s">
        <v>308</v>
      </c>
      <c r="E40" s="31" t="s">
        <v>309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223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{A4B27AF6-B282-44F5-988D-F9DA739DB031}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B27AF6-B282-44F5-988D-F9DA739DB03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310</v>
      </c>
      <c r="C1" s="13" t="s">
        <v>89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3" t="s">
        <v>316</v>
      </c>
      <c r="J1" s="13" t="s">
        <v>317</v>
      </c>
      <c r="K1" s="13" t="s">
        <v>318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319</v>
      </c>
      <c r="D2" s="31" t="s">
        <v>320</v>
      </c>
      <c r="E2" s="31" t="s">
        <v>321</v>
      </c>
      <c r="F2" s="31" t="s">
        <v>322</v>
      </c>
      <c r="G2" s="31" t="s">
        <v>323</v>
      </c>
      <c r="H2" s="31" t="s">
        <v>324</v>
      </c>
      <c r="I2" s="31" t="s">
        <v>325</v>
      </c>
      <c r="J2" s="31" t="s">
        <v>326</v>
      </c>
      <c r="K2" s="31" t="s">
        <v>327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328</v>
      </c>
      <c r="D3" s="31" t="s">
        <v>329</v>
      </c>
      <c r="E3" s="31" t="s">
        <v>330</v>
      </c>
      <c r="F3" s="31" t="s">
        <v>331</v>
      </c>
      <c r="G3" s="31" t="s">
        <v>332</v>
      </c>
      <c r="H3" s="31" t="s">
        <v>333</v>
      </c>
      <c r="I3" s="31" t="s">
        <v>334</v>
      </c>
      <c r="J3" s="31" t="s">
        <v>335</v>
      </c>
      <c r="K3" s="31" t="s">
        <v>336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328</v>
      </c>
      <c r="D4" s="31" t="s">
        <v>337</v>
      </c>
      <c r="E4" s="31" t="s">
        <v>330</v>
      </c>
      <c r="F4" s="31" t="s">
        <v>338</v>
      </c>
      <c r="G4" s="31" t="s">
        <v>339</v>
      </c>
      <c r="H4" s="31" t="s">
        <v>340</v>
      </c>
      <c r="I4" s="31" t="s">
        <v>341</v>
      </c>
      <c r="J4" s="31" t="s">
        <v>335</v>
      </c>
      <c r="K4" s="31" t="s">
        <v>336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342</v>
      </c>
      <c r="D5" s="31" t="s">
        <v>343</v>
      </c>
      <c r="E5" s="31" t="s">
        <v>330</v>
      </c>
      <c r="F5" s="31" t="s">
        <v>344</v>
      </c>
      <c r="G5" s="31" t="s">
        <v>345</v>
      </c>
      <c r="H5" s="31" t="s">
        <v>346</v>
      </c>
      <c r="I5" s="31" t="s">
        <v>347</v>
      </c>
      <c r="J5" s="31" t="s">
        <v>348</v>
      </c>
      <c r="K5" s="31" t="s">
        <v>349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342</v>
      </c>
      <c r="D6" s="31" t="s">
        <v>350</v>
      </c>
      <c r="E6" s="31" t="s">
        <v>330</v>
      </c>
      <c r="F6" s="31" t="s">
        <v>351</v>
      </c>
      <c r="G6" s="31" t="s">
        <v>352</v>
      </c>
      <c r="H6" s="31" t="s">
        <v>352</v>
      </c>
      <c r="I6" s="31" t="s">
        <v>353</v>
      </c>
      <c r="J6" s="31" t="s">
        <v>354</v>
      </c>
      <c r="K6" s="31" t="s">
        <v>355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342</v>
      </c>
      <c r="D7" s="31" t="s">
        <v>356</v>
      </c>
      <c r="E7" s="31" t="s">
        <v>357</v>
      </c>
      <c r="F7" s="31" t="s">
        <v>358</v>
      </c>
      <c r="G7" s="31" t="s">
        <v>359</v>
      </c>
      <c r="H7" s="31" t="s">
        <v>360</v>
      </c>
      <c r="I7" s="31" t="s">
        <v>361</v>
      </c>
      <c r="J7" s="31" t="s">
        <v>362</v>
      </c>
      <c r="K7" s="31" t="s">
        <v>363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342</v>
      </c>
      <c r="D8" s="31" t="s">
        <v>364</v>
      </c>
      <c r="E8" s="31" t="s">
        <v>365</v>
      </c>
      <c r="F8" s="31" t="s">
        <v>366</v>
      </c>
      <c r="G8" s="31" t="s">
        <v>366</v>
      </c>
      <c r="H8" s="31" t="s">
        <v>366</v>
      </c>
      <c r="I8" s="31" t="s">
        <v>366</v>
      </c>
      <c r="J8" s="31" t="s">
        <v>367</v>
      </c>
      <c r="K8" s="31" t="s">
        <v>368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342</v>
      </c>
      <c r="D9" s="31" t="s">
        <v>369</v>
      </c>
      <c r="E9" s="31" t="s">
        <v>370</v>
      </c>
      <c r="F9" s="31" t="s">
        <v>371</v>
      </c>
      <c r="G9" s="31" t="s">
        <v>372</v>
      </c>
      <c r="H9" s="31" t="s">
        <v>372</v>
      </c>
      <c r="I9" s="31" t="s">
        <v>372</v>
      </c>
      <c r="J9" s="31" t="s">
        <v>373</v>
      </c>
      <c r="K9" s="31" t="s">
        <v>374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342</v>
      </c>
      <c r="D10" s="31" t="s">
        <v>375</v>
      </c>
      <c r="E10" s="31" t="s">
        <v>376</v>
      </c>
      <c r="F10" s="31" t="s">
        <v>377</v>
      </c>
      <c r="G10" s="31" t="s">
        <v>377</v>
      </c>
      <c r="H10" s="31" t="s">
        <v>377</v>
      </c>
      <c r="I10" s="31" t="s">
        <v>377</v>
      </c>
      <c r="J10" s="31" t="s">
        <v>378</v>
      </c>
      <c r="K10" s="31" t="s">
        <v>336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342</v>
      </c>
      <c r="D11" s="31" t="s">
        <v>379</v>
      </c>
      <c r="E11" s="31" t="s">
        <v>365</v>
      </c>
      <c r="F11" s="31" t="s">
        <v>380</v>
      </c>
      <c r="G11" s="31" t="s">
        <v>380</v>
      </c>
      <c r="H11" s="31" t="s">
        <v>381</v>
      </c>
      <c r="I11" s="31" t="s">
        <v>382</v>
      </c>
      <c r="J11" s="31" t="s">
        <v>383</v>
      </c>
      <c r="K11" s="31" t="s">
        <v>384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342</v>
      </c>
      <c r="D12" s="31" t="s">
        <v>385</v>
      </c>
      <c r="E12" s="31" t="s">
        <v>386</v>
      </c>
      <c r="F12" s="31" t="s">
        <v>387</v>
      </c>
      <c r="G12" s="31" t="s">
        <v>387</v>
      </c>
      <c r="H12" s="31" t="s">
        <v>387</v>
      </c>
      <c r="I12" s="31" t="s">
        <v>387</v>
      </c>
      <c r="J12" s="31" t="s">
        <v>388</v>
      </c>
      <c r="K12" s="31" t="s">
        <v>389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342</v>
      </c>
      <c r="D13" s="31" t="s">
        <v>390</v>
      </c>
      <c r="E13" s="31" t="s">
        <v>330</v>
      </c>
      <c r="F13" s="31" t="s">
        <v>391</v>
      </c>
      <c r="G13" s="31" t="s">
        <v>392</v>
      </c>
      <c r="H13" s="31" t="s">
        <v>393</v>
      </c>
      <c r="I13" s="31" t="s">
        <v>394</v>
      </c>
      <c r="J13" s="31" t="s">
        <v>395</v>
      </c>
      <c r="K13" s="31" t="s">
        <v>396</v>
      </c>
    </row>
    <row r="14" customFormat="false" ht="15" hidden="false" customHeight="true" outlineLevel="0" collapsed="false">
      <c r="A14" s="31" t="s">
        <v>103</v>
      </c>
      <c r="B14" s="31" t="s">
        <v>397</v>
      </c>
      <c r="C14" s="31" t="s">
        <v>319</v>
      </c>
      <c r="D14" s="31" t="s">
        <v>398</v>
      </c>
      <c r="E14" s="31" t="s">
        <v>330</v>
      </c>
      <c r="F14" s="31" t="s">
        <v>399</v>
      </c>
      <c r="G14" s="31" t="s">
        <v>400</v>
      </c>
      <c r="H14" s="31" t="s">
        <v>401</v>
      </c>
      <c r="I14" s="31" t="s">
        <v>402</v>
      </c>
      <c r="J14" s="31" t="s">
        <v>403</v>
      </c>
      <c r="K14" s="31" t="s">
        <v>404</v>
      </c>
    </row>
    <row r="15" customFormat="false" ht="15" hidden="false" customHeight="true" outlineLevel="0" collapsed="false">
      <c r="A15" s="31" t="s">
        <v>104</v>
      </c>
      <c r="B15" s="31" t="s">
        <v>397</v>
      </c>
      <c r="C15" s="31" t="s">
        <v>319</v>
      </c>
      <c r="D15" s="31" t="s">
        <v>405</v>
      </c>
      <c r="E15" s="31" t="s">
        <v>406</v>
      </c>
      <c r="F15" s="31" t="s">
        <v>407</v>
      </c>
      <c r="G15" s="31" t="s">
        <v>408</v>
      </c>
      <c r="H15" s="31" t="s">
        <v>409</v>
      </c>
      <c r="I15" s="31" t="s">
        <v>410</v>
      </c>
      <c r="J15" s="31" t="s">
        <v>411</v>
      </c>
      <c r="K15" s="31" t="s">
        <v>412</v>
      </c>
    </row>
    <row r="16" customFormat="false" ht="23.25" hidden="false" customHeight="true" outlineLevel="0" collapsed="false">
      <c r="A16" s="31" t="s">
        <v>105</v>
      </c>
      <c r="B16" s="31" t="s">
        <v>397</v>
      </c>
      <c r="C16" s="31" t="s">
        <v>319</v>
      </c>
      <c r="D16" s="31" t="s">
        <v>413</v>
      </c>
      <c r="E16" s="31" t="s">
        <v>414</v>
      </c>
      <c r="F16" s="31" t="s">
        <v>415</v>
      </c>
      <c r="G16" s="31" t="s">
        <v>416</v>
      </c>
      <c r="H16" s="31" t="s">
        <v>417</v>
      </c>
      <c r="I16" s="31" t="s">
        <v>418</v>
      </c>
      <c r="J16" s="31" t="s">
        <v>419</v>
      </c>
      <c r="K16" s="31" t="s">
        <v>336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319</v>
      </c>
      <c r="D17" s="31" t="s">
        <v>420</v>
      </c>
      <c r="E17" s="31" t="s">
        <v>330</v>
      </c>
      <c r="F17" s="31" t="s">
        <v>421</v>
      </c>
      <c r="G17" s="31" t="s">
        <v>422</v>
      </c>
      <c r="H17" s="31" t="s">
        <v>423</v>
      </c>
      <c r="I17" s="31" t="s">
        <v>424</v>
      </c>
      <c r="J17" s="31" t="s">
        <v>425</v>
      </c>
      <c r="K17" s="31" t="s">
        <v>426</v>
      </c>
    </row>
    <row r="18" customFormat="false" ht="15" hidden="false" customHeight="true" outlineLevel="0" collapsed="false">
      <c r="A18" s="31" t="s">
        <v>107</v>
      </c>
      <c r="B18" s="31" t="s">
        <v>209</v>
      </c>
      <c r="C18" s="31" t="s">
        <v>319</v>
      </c>
      <c r="D18" s="31" t="s">
        <v>427</v>
      </c>
      <c r="E18" s="31" t="s">
        <v>428</v>
      </c>
      <c r="F18" s="31" t="s">
        <v>429</v>
      </c>
      <c r="G18" s="31" t="s">
        <v>430</v>
      </c>
      <c r="H18" s="31" t="s">
        <v>431</v>
      </c>
      <c r="I18" s="31" t="s">
        <v>432</v>
      </c>
      <c r="J18" s="31" t="s">
        <v>433</v>
      </c>
      <c r="K18" s="31" t="s">
        <v>434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319</v>
      </c>
      <c r="D19" s="31" t="s">
        <v>435</v>
      </c>
      <c r="E19" s="31" t="s">
        <v>330</v>
      </c>
      <c r="F19" s="31" t="s">
        <v>436</v>
      </c>
      <c r="G19" s="31" t="s">
        <v>437</v>
      </c>
      <c r="H19" s="31" t="s">
        <v>438</v>
      </c>
      <c r="I19" s="31" t="s">
        <v>439</v>
      </c>
      <c r="J19" s="31" t="s">
        <v>440</v>
      </c>
      <c r="K19" s="31" t="s">
        <v>336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328</v>
      </c>
      <c r="D20" s="31" t="s">
        <v>441</v>
      </c>
      <c r="E20" s="31" t="s">
        <v>330</v>
      </c>
      <c r="F20" s="31" t="s">
        <v>442</v>
      </c>
      <c r="G20" s="31" t="s">
        <v>442</v>
      </c>
      <c r="H20" s="31" t="s">
        <v>442</v>
      </c>
      <c r="I20" s="31" t="s">
        <v>442</v>
      </c>
      <c r="J20" s="31" t="s">
        <v>443</v>
      </c>
      <c r="K20" s="31" t="s">
        <v>363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328</v>
      </c>
      <c r="D21" s="31" t="s">
        <v>444</v>
      </c>
      <c r="E21" s="31" t="s">
        <v>445</v>
      </c>
      <c r="F21" s="31" t="s">
        <v>446</v>
      </c>
      <c r="G21" s="31" t="s">
        <v>446</v>
      </c>
      <c r="H21" s="31" t="s">
        <v>446</v>
      </c>
      <c r="I21" s="31" t="s">
        <v>446</v>
      </c>
      <c r="J21" s="31" t="s">
        <v>447</v>
      </c>
      <c r="K21" s="31" t="s">
        <v>448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328</v>
      </c>
      <c r="D22" s="31" t="s">
        <v>449</v>
      </c>
      <c r="E22" s="31" t="s">
        <v>450</v>
      </c>
      <c r="F22" s="31" t="s">
        <v>451</v>
      </c>
      <c r="G22" s="31" t="s">
        <v>452</v>
      </c>
      <c r="H22" s="31" t="s">
        <v>453</v>
      </c>
      <c r="I22" s="31" t="s">
        <v>454</v>
      </c>
      <c r="J22" s="31" t="s">
        <v>455</v>
      </c>
      <c r="K22" s="31" t="s">
        <v>336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342</v>
      </c>
      <c r="D23" s="31" t="s">
        <v>456</v>
      </c>
      <c r="E23" s="31" t="s">
        <v>386</v>
      </c>
      <c r="F23" s="31" t="s">
        <v>457</v>
      </c>
      <c r="G23" s="31" t="s">
        <v>457</v>
      </c>
      <c r="H23" s="31" t="s">
        <v>457</v>
      </c>
      <c r="I23" s="31" t="s">
        <v>458</v>
      </c>
      <c r="J23" s="31" t="s">
        <v>459</v>
      </c>
      <c r="K23" s="31" t="s">
        <v>460</v>
      </c>
    </row>
    <row r="24" customFormat="false" ht="15" hidden="false" customHeight="true" outlineLevel="0" collapsed="false">
      <c r="A24" s="31" t="s">
        <v>113</v>
      </c>
      <c r="B24" s="31" t="s">
        <v>461</v>
      </c>
      <c r="C24" s="31" t="s">
        <v>319</v>
      </c>
      <c r="D24" s="31" t="s">
        <v>462</v>
      </c>
      <c r="E24" s="31" t="s">
        <v>406</v>
      </c>
      <c r="F24" s="31" t="s">
        <v>463</v>
      </c>
      <c r="G24" s="31" t="s">
        <v>464</v>
      </c>
      <c r="H24" s="31" t="s">
        <v>465</v>
      </c>
      <c r="I24" s="31" t="s">
        <v>466</v>
      </c>
      <c r="J24" s="31" t="s">
        <v>467</v>
      </c>
      <c r="K24" s="31" t="s">
        <v>468</v>
      </c>
    </row>
    <row r="25" customFormat="false" ht="15" hidden="false" customHeight="true" outlineLevel="0" collapsed="false">
      <c r="A25" s="31" t="s">
        <v>114</v>
      </c>
      <c r="B25" s="31" t="s">
        <v>461</v>
      </c>
      <c r="C25" s="31" t="s">
        <v>342</v>
      </c>
      <c r="D25" s="31" t="s">
        <v>469</v>
      </c>
      <c r="E25" s="31" t="s">
        <v>386</v>
      </c>
      <c r="F25" s="31" t="s">
        <v>470</v>
      </c>
      <c r="G25" s="31" t="s">
        <v>372</v>
      </c>
      <c r="H25" s="31" t="s">
        <v>471</v>
      </c>
      <c r="I25" s="31" t="s">
        <v>472</v>
      </c>
      <c r="J25" s="31" t="s">
        <v>473</v>
      </c>
      <c r="K25" s="31" t="s">
        <v>474</v>
      </c>
    </row>
    <row r="26" customFormat="false" ht="23.25" hidden="false" customHeight="true" outlineLevel="0" collapsed="false">
      <c r="A26" s="31" t="s">
        <v>115</v>
      </c>
      <c r="B26" s="31" t="s">
        <v>461</v>
      </c>
      <c r="C26" s="31" t="s">
        <v>342</v>
      </c>
      <c r="D26" s="31" t="s">
        <v>475</v>
      </c>
      <c r="E26" s="31" t="s">
        <v>386</v>
      </c>
      <c r="F26" s="31" t="s">
        <v>470</v>
      </c>
      <c r="G26" s="31" t="s">
        <v>372</v>
      </c>
      <c r="H26" s="31" t="s">
        <v>372</v>
      </c>
      <c r="I26" s="31" t="s">
        <v>472</v>
      </c>
      <c r="J26" s="31" t="s">
        <v>476</v>
      </c>
      <c r="K26" s="31" t="s">
        <v>477</v>
      </c>
    </row>
    <row r="27" customFormat="false" ht="23.25" hidden="false" customHeight="true" outlineLevel="0" collapsed="false">
      <c r="A27" s="31" t="s">
        <v>116</v>
      </c>
      <c r="B27" s="31" t="s">
        <v>461</v>
      </c>
      <c r="C27" s="31" t="s">
        <v>342</v>
      </c>
      <c r="D27" s="31" t="s">
        <v>478</v>
      </c>
      <c r="E27" s="31" t="s">
        <v>386</v>
      </c>
      <c r="F27" s="31" t="s">
        <v>470</v>
      </c>
      <c r="G27" s="31" t="s">
        <v>372</v>
      </c>
      <c r="H27" s="31" t="s">
        <v>372</v>
      </c>
      <c r="I27" s="31" t="s">
        <v>472</v>
      </c>
      <c r="J27" s="31" t="s">
        <v>479</v>
      </c>
      <c r="K27" s="31" t="s">
        <v>480</v>
      </c>
    </row>
    <row r="28" customFormat="false" ht="15" hidden="false" customHeight="true" outlineLevel="0" collapsed="false">
      <c r="A28" s="31" t="s">
        <v>117</v>
      </c>
      <c r="B28" s="31" t="s">
        <v>461</v>
      </c>
      <c r="C28" s="31" t="s">
        <v>342</v>
      </c>
      <c r="D28" s="31" t="s">
        <v>481</v>
      </c>
      <c r="E28" s="31" t="s">
        <v>482</v>
      </c>
      <c r="F28" s="31" t="s">
        <v>483</v>
      </c>
      <c r="G28" s="31" t="s">
        <v>484</v>
      </c>
      <c r="H28" s="31" t="s">
        <v>485</v>
      </c>
      <c r="I28" s="31" t="s">
        <v>486</v>
      </c>
      <c r="J28" s="31" t="s">
        <v>487</v>
      </c>
      <c r="K28" s="31" t="s">
        <v>488</v>
      </c>
    </row>
    <row r="29" customFormat="false" ht="15" hidden="false" customHeight="true" outlineLevel="0" collapsed="false">
      <c r="A29" s="31" t="s">
        <v>118</v>
      </c>
      <c r="B29" s="31" t="s">
        <v>461</v>
      </c>
      <c r="C29" s="31" t="s">
        <v>342</v>
      </c>
      <c r="D29" s="31" t="s">
        <v>489</v>
      </c>
      <c r="E29" s="31" t="s">
        <v>386</v>
      </c>
      <c r="F29" s="31" t="s">
        <v>470</v>
      </c>
      <c r="G29" s="31" t="s">
        <v>372</v>
      </c>
      <c r="H29" s="31" t="s">
        <v>372</v>
      </c>
      <c r="I29" s="31" t="s">
        <v>472</v>
      </c>
      <c r="J29" s="31" t="s">
        <v>490</v>
      </c>
      <c r="K29" s="31" t="s">
        <v>491</v>
      </c>
    </row>
    <row r="30" customFormat="false" ht="23.25" hidden="false" customHeight="true" outlineLevel="0" collapsed="false">
      <c r="A30" s="31" t="s">
        <v>119</v>
      </c>
      <c r="B30" s="31" t="s">
        <v>461</v>
      </c>
      <c r="C30" s="31" t="s">
        <v>342</v>
      </c>
      <c r="D30" s="31" t="s">
        <v>492</v>
      </c>
      <c r="E30" s="31" t="s">
        <v>386</v>
      </c>
      <c r="F30" s="31" t="s">
        <v>493</v>
      </c>
      <c r="G30" s="31" t="s">
        <v>493</v>
      </c>
      <c r="H30" s="31" t="s">
        <v>493</v>
      </c>
      <c r="I30" s="31" t="s">
        <v>493</v>
      </c>
      <c r="J30" s="31" t="s">
        <v>494</v>
      </c>
      <c r="K30" s="31" t="s">
        <v>480</v>
      </c>
    </row>
    <row r="31" customFormat="false" ht="15" hidden="false" customHeight="true" outlineLevel="0" collapsed="false">
      <c r="A31" s="31" t="s">
        <v>120</v>
      </c>
      <c r="B31" s="31" t="s">
        <v>461</v>
      </c>
      <c r="C31" s="31" t="s">
        <v>328</v>
      </c>
      <c r="D31" s="31" t="s">
        <v>495</v>
      </c>
      <c r="E31" s="31" t="s">
        <v>496</v>
      </c>
      <c r="F31" s="31" t="s">
        <v>497</v>
      </c>
      <c r="G31" s="31" t="s">
        <v>497</v>
      </c>
      <c r="H31" s="31" t="s">
        <v>497</v>
      </c>
      <c r="I31" s="31" t="s">
        <v>497</v>
      </c>
      <c r="J31" s="31" t="s">
        <v>498</v>
      </c>
      <c r="K31" s="31" t="s">
        <v>499</v>
      </c>
    </row>
    <row r="32" customFormat="false" ht="15" hidden="false" customHeight="true" outlineLevel="0" collapsed="false">
      <c r="A32" s="31" t="s">
        <v>121</v>
      </c>
      <c r="B32" s="31" t="s">
        <v>500</v>
      </c>
      <c r="C32" s="31" t="s">
        <v>328</v>
      </c>
      <c r="D32" s="31" t="s">
        <v>501</v>
      </c>
      <c r="E32" s="31" t="s">
        <v>502</v>
      </c>
      <c r="F32" s="31" t="s">
        <v>503</v>
      </c>
      <c r="G32" s="31" t="s">
        <v>504</v>
      </c>
      <c r="H32" s="31" t="s">
        <v>504</v>
      </c>
      <c r="I32" s="31" t="s">
        <v>504</v>
      </c>
      <c r="J32" s="31" t="s">
        <v>505</v>
      </c>
      <c r="K32" s="31" t="s">
        <v>506</v>
      </c>
    </row>
    <row r="33" customFormat="false" ht="15" hidden="false" customHeight="true" outlineLevel="0" collapsed="false">
      <c r="A33" s="31" t="s">
        <v>122</v>
      </c>
      <c r="B33" s="31" t="s">
        <v>500</v>
      </c>
      <c r="C33" s="31" t="s">
        <v>328</v>
      </c>
      <c r="D33" s="31" t="s">
        <v>507</v>
      </c>
      <c r="E33" s="31" t="s">
        <v>508</v>
      </c>
      <c r="F33" s="31" t="s">
        <v>509</v>
      </c>
      <c r="G33" s="31" t="s">
        <v>509</v>
      </c>
      <c r="H33" s="31" t="s">
        <v>509</v>
      </c>
      <c r="I33" s="31" t="s">
        <v>509</v>
      </c>
      <c r="J33" s="31" t="s">
        <v>510</v>
      </c>
      <c r="K33" s="31" t="s">
        <v>511</v>
      </c>
    </row>
    <row r="34" customFormat="false" ht="15" hidden="false" customHeight="true" outlineLevel="0" collapsed="false">
      <c r="A34" s="31" t="s">
        <v>123</v>
      </c>
      <c r="B34" s="31" t="s">
        <v>500</v>
      </c>
      <c r="C34" s="31" t="s">
        <v>328</v>
      </c>
      <c r="D34" s="31" t="s">
        <v>512</v>
      </c>
      <c r="E34" s="31" t="s">
        <v>513</v>
      </c>
      <c r="F34" s="31" t="s">
        <v>514</v>
      </c>
      <c r="G34" s="31" t="s">
        <v>515</v>
      </c>
      <c r="H34" s="31" t="s">
        <v>515</v>
      </c>
      <c r="I34" s="31" t="s">
        <v>515</v>
      </c>
      <c r="J34" s="31" t="s">
        <v>516</v>
      </c>
      <c r="K34" s="31" t="s">
        <v>517</v>
      </c>
    </row>
    <row r="35" customFormat="false" ht="15" hidden="false" customHeight="true" outlineLevel="0" collapsed="false">
      <c r="A35" s="31" t="s">
        <v>124</v>
      </c>
      <c r="B35" s="31" t="s">
        <v>500</v>
      </c>
      <c r="C35" s="31" t="s">
        <v>328</v>
      </c>
      <c r="D35" s="31" t="s">
        <v>518</v>
      </c>
      <c r="E35" s="31" t="s">
        <v>330</v>
      </c>
      <c r="F35" s="31" t="s">
        <v>519</v>
      </c>
      <c r="G35" s="31" t="s">
        <v>520</v>
      </c>
      <c r="H35" s="31" t="s">
        <v>520</v>
      </c>
      <c r="I35" s="31" t="s">
        <v>520</v>
      </c>
      <c r="J35" s="31" t="s">
        <v>521</v>
      </c>
      <c r="K35" s="31" t="s">
        <v>363</v>
      </c>
    </row>
    <row r="36" customFormat="false" ht="15" hidden="false" customHeight="true" outlineLevel="0" collapsed="false">
      <c r="A36" s="31" t="s">
        <v>125</v>
      </c>
      <c r="B36" s="31" t="s">
        <v>500</v>
      </c>
      <c r="C36" s="31" t="s">
        <v>328</v>
      </c>
      <c r="D36" s="31" t="s">
        <v>522</v>
      </c>
      <c r="E36" s="31" t="s">
        <v>386</v>
      </c>
      <c r="F36" s="31" t="s">
        <v>523</v>
      </c>
      <c r="G36" s="31" t="s">
        <v>523</v>
      </c>
      <c r="H36" s="31" t="s">
        <v>523</v>
      </c>
      <c r="I36" s="31" t="s">
        <v>523</v>
      </c>
      <c r="J36" s="31" t="s">
        <v>524</v>
      </c>
      <c r="K36" s="31" t="s">
        <v>525</v>
      </c>
    </row>
    <row r="37" customFormat="false" ht="23.25" hidden="false" customHeight="true" outlineLevel="0" collapsed="false">
      <c r="A37" s="31" t="s">
        <v>126</v>
      </c>
      <c r="B37" s="31" t="s">
        <v>500</v>
      </c>
      <c r="C37" s="31" t="s">
        <v>328</v>
      </c>
      <c r="D37" s="31" t="s">
        <v>526</v>
      </c>
      <c r="E37" s="31" t="s">
        <v>496</v>
      </c>
      <c r="F37" s="31" t="s">
        <v>527</v>
      </c>
      <c r="G37" s="31" t="s">
        <v>515</v>
      </c>
      <c r="H37" s="31" t="s">
        <v>515</v>
      </c>
      <c r="I37" s="31" t="s">
        <v>515</v>
      </c>
      <c r="J37" s="31" t="s">
        <v>528</v>
      </c>
      <c r="K37" s="31" t="s">
        <v>529</v>
      </c>
    </row>
    <row r="38" customFormat="false" ht="15" hidden="false" customHeight="true" outlineLevel="0" collapsed="false">
      <c r="A38" s="31" t="s">
        <v>127</v>
      </c>
      <c r="B38" s="31" t="s">
        <v>209</v>
      </c>
      <c r="C38" s="31" t="s">
        <v>319</v>
      </c>
      <c r="D38" s="31" t="s">
        <v>530</v>
      </c>
      <c r="E38" s="31" t="s">
        <v>330</v>
      </c>
      <c r="F38" s="31" t="s">
        <v>531</v>
      </c>
      <c r="G38" s="31" t="s">
        <v>532</v>
      </c>
      <c r="H38" s="31" t="s">
        <v>533</v>
      </c>
      <c r="I38" s="31" t="s">
        <v>534</v>
      </c>
      <c r="J38" s="31" t="s">
        <v>535</v>
      </c>
      <c r="K38" s="31" t="s">
        <v>536</v>
      </c>
    </row>
    <row r="39" customFormat="false" ht="23.25" hidden="false" customHeight="true" outlineLevel="0" collapsed="false">
      <c r="A39" s="31" t="s">
        <v>128</v>
      </c>
      <c r="B39" s="31" t="s">
        <v>209</v>
      </c>
      <c r="C39" s="31" t="s">
        <v>319</v>
      </c>
      <c r="D39" s="31" t="s">
        <v>537</v>
      </c>
      <c r="E39" s="31" t="s">
        <v>538</v>
      </c>
      <c r="F39" s="31" t="s">
        <v>539</v>
      </c>
      <c r="G39" s="31" t="s">
        <v>540</v>
      </c>
      <c r="H39" s="31" t="s">
        <v>541</v>
      </c>
      <c r="I39" s="31" t="s">
        <v>542</v>
      </c>
      <c r="J39" s="31" t="s">
        <v>543</v>
      </c>
      <c r="K39" s="31" t="s">
        <v>544</v>
      </c>
    </row>
    <row r="40" customFormat="false" ht="15" hidden="false" customHeight="true" outlineLevel="0" collapsed="false">
      <c r="A40" s="31" t="s">
        <v>129</v>
      </c>
      <c r="B40" s="31" t="s">
        <v>209</v>
      </c>
      <c r="C40" s="31" t="s">
        <v>319</v>
      </c>
      <c r="D40" s="31" t="s">
        <v>545</v>
      </c>
      <c r="E40" s="31" t="s">
        <v>414</v>
      </c>
      <c r="F40" s="31" t="s">
        <v>546</v>
      </c>
      <c r="G40" s="31" t="s">
        <v>546</v>
      </c>
      <c r="H40" s="31" t="s">
        <v>546</v>
      </c>
      <c r="I40" s="31" t="s">
        <v>546</v>
      </c>
      <c r="J40" s="31" t="s">
        <v>547</v>
      </c>
      <c r="K40" s="31" t="s">
        <v>336</v>
      </c>
    </row>
    <row r="41" customFormat="false" ht="15" hidden="false" customHeight="true" outlineLevel="0" collapsed="false">
      <c r="A41" s="31" t="s">
        <v>130</v>
      </c>
      <c r="B41" s="31" t="s">
        <v>209</v>
      </c>
      <c r="C41" s="31" t="s">
        <v>342</v>
      </c>
      <c r="D41" s="31" t="s">
        <v>548</v>
      </c>
      <c r="E41" s="31" t="s">
        <v>549</v>
      </c>
      <c r="F41" s="31" t="s">
        <v>550</v>
      </c>
      <c r="G41" s="31" t="s">
        <v>550</v>
      </c>
      <c r="H41" s="31" t="s">
        <v>550</v>
      </c>
      <c r="I41" s="31" t="s">
        <v>550</v>
      </c>
      <c r="J41" s="31" t="s">
        <v>551</v>
      </c>
      <c r="K41" s="31" t="s">
        <v>552</v>
      </c>
    </row>
    <row r="42" customFormat="false" ht="23.25" hidden="false" customHeight="true" outlineLevel="0" collapsed="false">
      <c r="A42" s="31" t="s">
        <v>131</v>
      </c>
      <c r="B42" s="31" t="s">
        <v>209</v>
      </c>
      <c r="C42" s="31" t="s">
        <v>342</v>
      </c>
      <c r="D42" s="31" t="s">
        <v>553</v>
      </c>
      <c r="E42" s="31" t="s">
        <v>330</v>
      </c>
      <c r="F42" s="31" t="s">
        <v>554</v>
      </c>
      <c r="G42" s="31" t="s">
        <v>554</v>
      </c>
      <c r="H42" s="31" t="s">
        <v>554</v>
      </c>
      <c r="I42" s="31" t="s">
        <v>554</v>
      </c>
      <c r="J42" s="31" t="s">
        <v>555</v>
      </c>
      <c r="K42" s="31" t="s">
        <v>363</v>
      </c>
    </row>
    <row r="43" customFormat="false" ht="15" hidden="false" customHeight="true" outlineLevel="0" collapsed="false">
      <c r="A43" s="31" t="s">
        <v>132</v>
      </c>
      <c r="B43" s="31" t="s">
        <v>209</v>
      </c>
      <c r="C43" s="31" t="s">
        <v>342</v>
      </c>
      <c r="D43" s="31" t="s">
        <v>556</v>
      </c>
      <c r="E43" s="31" t="s">
        <v>557</v>
      </c>
      <c r="F43" s="31" t="s">
        <v>558</v>
      </c>
      <c r="G43" s="31" t="s">
        <v>558</v>
      </c>
      <c r="H43" s="31" t="s">
        <v>558</v>
      </c>
      <c r="I43" s="31" t="s">
        <v>558</v>
      </c>
      <c r="J43" s="31" t="s">
        <v>559</v>
      </c>
      <c r="K43" s="31" t="s">
        <v>560</v>
      </c>
    </row>
    <row r="44" customFormat="false" ht="23.25" hidden="false" customHeight="true" outlineLevel="0" collapsed="false">
      <c r="A44" s="31" t="s">
        <v>133</v>
      </c>
      <c r="B44" s="31" t="s">
        <v>209</v>
      </c>
      <c r="C44" s="31" t="s">
        <v>328</v>
      </c>
      <c r="D44" s="31" t="s">
        <v>561</v>
      </c>
      <c r="E44" s="31" t="s">
        <v>557</v>
      </c>
      <c r="F44" s="31" t="s">
        <v>562</v>
      </c>
      <c r="G44" s="31" t="s">
        <v>515</v>
      </c>
      <c r="H44" s="31" t="s">
        <v>515</v>
      </c>
      <c r="I44" s="31" t="s">
        <v>515</v>
      </c>
      <c r="J44" s="31" t="s">
        <v>563</v>
      </c>
      <c r="K44" s="31" t="s">
        <v>564</v>
      </c>
    </row>
    <row r="45" customFormat="false" ht="15" hidden="false" customHeight="true" outlineLevel="0" collapsed="false">
      <c r="A45" s="31" t="s">
        <v>134</v>
      </c>
      <c r="B45" s="31" t="s">
        <v>461</v>
      </c>
      <c r="C45" s="31" t="s">
        <v>328</v>
      </c>
      <c r="D45" s="31" t="s">
        <v>565</v>
      </c>
      <c r="E45" s="31" t="s">
        <v>496</v>
      </c>
      <c r="F45" s="31" t="s">
        <v>566</v>
      </c>
      <c r="G45" s="31" t="s">
        <v>567</v>
      </c>
      <c r="H45" s="31" t="s">
        <v>568</v>
      </c>
      <c r="I45" s="31" t="s">
        <v>568</v>
      </c>
      <c r="J45" s="31" t="s">
        <v>569</v>
      </c>
      <c r="K45" s="31" t="s">
        <v>570</v>
      </c>
    </row>
    <row r="46" customFormat="false" ht="15" hidden="false" customHeight="true" outlineLevel="0" collapsed="false">
      <c r="A46" s="31" t="s">
        <v>135</v>
      </c>
      <c r="B46" s="31" t="s">
        <v>461</v>
      </c>
      <c r="C46" s="31" t="s">
        <v>342</v>
      </c>
      <c r="D46" s="31" t="s">
        <v>571</v>
      </c>
      <c r="E46" s="31" t="s">
        <v>496</v>
      </c>
      <c r="F46" s="31" t="s">
        <v>572</v>
      </c>
      <c r="G46" s="31" t="s">
        <v>515</v>
      </c>
      <c r="H46" s="31" t="s">
        <v>515</v>
      </c>
      <c r="I46" s="31" t="s">
        <v>515</v>
      </c>
      <c r="J46" s="31" t="s">
        <v>573</v>
      </c>
      <c r="K46" s="31" t="s">
        <v>574</v>
      </c>
    </row>
    <row r="47" customFormat="false" ht="15" hidden="false" customHeight="true" outlineLevel="0" collapsed="false">
      <c r="A47" s="31" t="s">
        <v>136</v>
      </c>
      <c r="B47" s="31" t="s">
        <v>461</v>
      </c>
      <c r="C47" s="31" t="s">
        <v>342</v>
      </c>
      <c r="D47" s="31" t="s">
        <v>575</v>
      </c>
      <c r="E47" s="31" t="s">
        <v>557</v>
      </c>
      <c r="F47" s="31" t="s">
        <v>576</v>
      </c>
      <c r="G47" s="31" t="s">
        <v>515</v>
      </c>
      <c r="H47" s="31" t="s">
        <v>515</v>
      </c>
      <c r="I47" s="31" t="s">
        <v>515</v>
      </c>
      <c r="J47" s="31" t="s">
        <v>577</v>
      </c>
      <c r="K47" s="31" t="s">
        <v>578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342</v>
      </c>
      <c r="D48" s="31" t="s">
        <v>579</v>
      </c>
      <c r="E48" s="31" t="s">
        <v>580</v>
      </c>
      <c r="F48" s="31" t="s">
        <v>581</v>
      </c>
      <c r="G48" s="31" t="s">
        <v>581</v>
      </c>
      <c r="H48" s="31" t="s">
        <v>581</v>
      </c>
      <c r="I48" s="31" t="s">
        <v>582</v>
      </c>
      <c r="J48" s="31" t="s">
        <v>583</v>
      </c>
      <c r="K48" s="31" t="s">
        <v>584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585</v>
      </c>
      <c r="B1" s="13" t="s">
        <v>140</v>
      </c>
      <c r="C1" s="13" t="s">
        <v>88</v>
      </c>
      <c r="D1" s="13" t="s">
        <v>89</v>
      </c>
      <c r="E1" s="13" t="s">
        <v>586</v>
      </c>
      <c r="F1" s="13" t="s">
        <v>587</v>
      </c>
      <c r="G1" s="13" t="s">
        <v>588</v>
      </c>
      <c r="H1" s="13" t="s">
        <v>589</v>
      </c>
      <c r="I1" s="13" t="s">
        <v>144</v>
      </c>
      <c r="J1" s="13" t="s">
        <v>590</v>
      </c>
      <c r="K1" s="13" t="s">
        <v>148</v>
      </c>
      <c r="L1" s="13" t="s">
        <v>591</v>
      </c>
      <c r="M1" s="13" t="s">
        <v>592</v>
      </c>
      <c r="N1" s="13" t="s">
        <v>593</v>
      </c>
      <c r="O1" s="13" t="s">
        <v>594</v>
      </c>
    </row>
    <row r="2" customFormat="false" ht="23.25" hidden="false" customHeight="true" outlineLevel="0" collapsed="false">
      <c r="A2" s="28" t="s">
        <v>595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596</v>
      </c>
      <c r="F2" s="28" t="s">
        <v>597</v>
      </c>
      <c r="G2" s="28" t="s">
        <v>598</v>
      </c>
      <c r="H2" s="28" t="s">
        <v>442</v>
      </c>
      <c r="I2" s="28" t="s">
        <v>161</v>
      </c>
      <c r="J2" s="28" t="s">
        <v>599</v>
      </c>
      <c r="K2" s="28" t="s">
        <v>378</v>
      </c>
      <c r="L2" s="29" t="n">
        <v>46336</v>
      </c>
      <c r="M2" s="28" t="s">
        <v>600</v>
      </c>
      <c r="N2" s="28"/>
      <c r="O2" s="28" t="s">
        <v>601</v>
      </c>
    </row>
    <row r="3" customFormat="false" ht="23.25" hidden="false" customHeight="true" outlineLevel="0" collapsed="false">
      <c r="A3" s="31" t="s">
        <v>602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603</v>
      </c>
      <c r="G3" s="31" t="s">
        <v>604</v>
      </c>
      <c r="H3" s="31" t="s">
        <v>605</v>
      </c>
      <c r="I3" s="31" t="s">
        <v>161</v>
      </c>
      <c r="J3" s="33" t="s">
        <v>599</v>
      </c>
      <c r="K3" s="33" t="s">
        <v>378</v>
      </c>
      <c r="L3" s="36" t="n">
        <v>46319</v>
      </c>
      <c r="M3" s="33" t="s">
        <v>606</v>
      </c>
      <c r="N3" s="33"/>
      <c r="O3" s="33" t="s">
        <v>607</v>
      </c>
    </row>
    <row r="4" customFormat="false" ht="15" hidden="false" customHeight="true" outlineLevel="0" collapsed="false">
      <c r="A4" s="31" t="s">
        <v>608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609</v>
      </c>
      <c r="G4" s="31" t="s">
        <v>610</v>
      </c>
      <c r="H4" s="31" t="s">
        <v>554</v>
      </c>
      <c r="I4" s="31" t="s">
        <v>161</v>
      </c>
      <c r="J4" s="33" t="s">
        <v>599</v>
      </c>
      <c r="K4" s="33" t="s">
        <v>59</v>
      </c>
      <c r="L4" s="36" t="n">
        <v>46319</v>
      </c>
      <c r="M4" s="33" t="s">
        <v>611</v>
      </c>
      <c r="N4" s="33"/>
      <c r="O4" s="33" t="s">
        <v>206</v>
      </c>
    </row>
    <row r="5" customFormat="false" ht="15" hidden="false" customHeight="true" outlineLevel="0" collapsed="false">
      <c r="A5" s="31" t="s">
        <v>612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613</v>
      </c>
      <c r="F5" s="31" t="s">
        <v>614</v>
      </c>
      <c r="G5" s="31" t="s">
        <v>615</v>
      </c>
      <c r="H5" s="31" t="s">
        <v>554</v>
      </c>
      <c r="I5" s="31" t="s">
        <v>161</v>
      </c>
      <c r="J5" s="33" t="s">
        <v>599</v>
      </c>
      <c r="K5" s="33" t="s">
        <v>378</v>
      </c>
      <c r="L5" s="36" t="n">
        <v>46319</v>
      </c>
      <c r="M5" s="33" t="s">
        <v>616</v>
      </c>
      <c r="N5" s="33"/>
      <c r="O5" s="33" t="s">
        <v>617</v>
      </c>
    </row>
    <row r="6" customFormat="false" ht="15" hidden="false" customHeight="true" outlineLevel="0" collapsed="false">
      <c r="A6" s="31" t="s">
        <v>618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619</v>
      </c>
      <c r="F6" s="31" t="s">
        <v>620</v>
      </c>
      <c r="G6" s="31" t="s">
        <v>621</v>
      </c>
      <c r="H6" s="31" t="s">
        <v>372</v>
      </c>
      <c r="I6" s="31" t="s">
        <v>161</v>
      </c>
      <c r="J6" s="33" t="s">
        <v>599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622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623</v>
      </c>
      <c r="F7" s="31" t="s">
        <v>624</v>
      </c>
      <c r="G7" s="31" t="s">
        <v>625</v>
      </c>
      <c r="H7" s="31" t="s">
        <v>531</v>
      </c>
      <c r="I7" s="31" t="s">
        <v>161</v>
      </c>
      <c r="J7" s="33" t="s">
        <v>599</v>
      </c>
      <c r="K7" s="33" t="s">
        <v>378</v>
      </c>
      <c r="L7" s="36" t="n">
        <v>46320</v>
      </c>
      <c r="M7" s="33" t="s">
        <v>626</v>
      </c>
      <c r="N7" s="33"/>
      <c r="O7" s="33" t="s">
        <v>627</v>
      </c>
    </row>
    <row r="8" customFormat="false" ht="15" hidden="false" customHeight="true" outlineLevel="0" collapsed="false">
      <c r="A8" s="31" t="s">
        <v>628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623</v>
      </c>
      <c r="F8" s="31" t="s">
        <v>629</v>
      </c>
      <c r="G8" s="31" t="s">
        <v>543</v>
      </c>
      <c r="H8" s="31" t="s">
        <v>630</v>
      </c>
      <c r="I8" s="31" t="s">
        <v>161</v>
      </c>
      <c r="J8" s="33" t="s">
        <v>599</v>
      </c>
      <c r="K8" s="33" t="s">
        <v>378</v>
      </c>
      <c r="L8" s="36" t="n">
        <v>46320</v>
      </c>
      <c r="M8" s="33" t="s">
        <v>631</v>
      </c>
      <c r="N8" s="33"/>
      <c r="O8" s="33" t="s">
        <v>632</v>
      </c>
    </row>
    <row r="9" customFormat="false" ht="34.5" hidden="false" customHeight="true" outlineLevel="0" collapsed="false">
      <c r="A9" s="31" t="s">
        <v>633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623</v>
      </c>
      <c r="F9" s="31" t="s">
        <v>634</v>
      </c>
      <c r="G9" s="31" t="s">
        <v>547</v>
      </c>
      <c r="H9" s="31" t="s">
        <v>546</v>
      </c>
      <c r="I9" s="31" t="s">
        <v>161</v>
      </c>
      <c r="J9" s="33" t="s">
        <v>599</v>
      </c>
      <c r="K9" s="33" t="s">
        <v>378</v>
      </c>
      <c r="L9" s="36" t="n">
        <v>46318</v>
      </c>
      <c r="M9" s="33" t="s">
        <v>635</v>
      </c>
      <c r="N9" s="33"/>
      <c r="O9" s="33" t="s">
        <v>636</v>
      </c>
    </row>
    <row r="10" customFormat="false" ht="15" hidden="false" customHeight="true" outlineLevel="0" collapsed="false">
      <c r="A10" s="31" t="s">
        <v>637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638</v>
      </c>
      <c r="F10" s="31" t="s">
        <v>639</v>
      </c>
      <c r="G10" s="31" t="s">
        <v>551</v>
      </c>
      <c r="H10" s="31" t="s">
        <v>550</v>
      </c>
      <c r="I10" s="31" t="s">
        <v>168</v>
      </c>
      <c r="J10" s="33" t="s">
        <v>599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640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641</v>
      </c>
      <c r="F11" s="31" t="s">
        <v>642</v>
      </c>
      <c r="G11" s="31" t="s">
        <v>643</v>
      </c>
      <c r="H11" s="31" t="s">
        <v>372</v>
      </c>
      <c r="I11" s="31" t="s">
        <v>161</v>
      </c>
      <c r="J11" s="33" t="s">
        <v>599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644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645</v>
      </c>
      <c r="F12" s="31" t="s">
        <v>646</v>
      </c>
      <c r="G12" s="31" t="s">
        <v>647</v>
      </c>
      <c r="H12" s="31" t="s">
        <v>648</v>
      </c>
      <c r="I12" s="31" t="s">
        <v>161</v>
      </c>
      <c r="J12" s="33" t="s">
        <v>599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649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650</v>
      </c>
      <c r="F13" s="31" t="s">
        <v>651</v>
      </c>
      <c r="G13" s="31" t="s">
        <v>652</v>
      </c>
      <c r="H13" s="31" t="s">
        <v>554</v>
      </c>
      <c r="I13" s="31" t="s">
        <v>168</v>
      </c>
      <c r="J13" s="33" t="s">
        <v>599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653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654</v>
      </c>
      <c r="F14" s="31" t="s">
        <v>655</v>
      </c>
      <c r="G14" s="31" t="s">
        <v>656</v>
      </c>
      <c r="H14" s="31" t="s">
        <v>657</v>
      </c>
      <c r="I14" s="31" t="s">
        <v>161</v>
      </c>
      <c r="J14" s="33" t="s">
        <v>599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658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623</v>
      </c>
      <c r="F15" s="31" t="s">
        <v>659</v>
      </c>
      <c r="G15" s="31" t="s">
        <v>660</v>
      </c>
      <c r="H15" s="31" t="s">
        <v>661</v>
      </c>
      <c r="I15" s="31" t="s">
        <v>161</v>
      </c>
      <c r="J15" s="33" t="s">
        <v>599</v>
      </c>
      <c r="K15" s="33" t="s">
        <v>378</v>
      </c>
      <c r="L15" s="36" t="n">
        <v>46320</v>
      </c>
      <c r="M15" s="33" t="s">
        <v>662</v>
      </c>
      <c r="N15" s="33"/>
      <c r="O15" s="33" t="s">
        <v>663</v>
      </c>
    </row>
    <row r="16" customFormat="false" ht="15" hidden="false" customHeight="true" outlineLevel="0" collapsed="false">
      <c r="A16" s="31" t="s">
        <v>664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623</v>
      </c>
      <c r="F16" s="31" t="s">
        <v>665</v>
      </c>
      <c r="G16" s="31" t="s">
        <v>666</v>
      </c>
      <c r="H16" s="31" t="s">
        <v>667</v>
      </c>
      <c r="I16" s="31" t="s">
        <v>161</v>
      </c>
      <c r="J16" s="33" t="s">
        <v>599</v>
      </c>
      <c r="K16" s="33" t="s">
        <v>378</v>
      </c>
      <c r="L16" s="36" t="n">
        <v>46319</v>
      </c>
      <c r="M16" s="33" t="s">
        <v>668</v>
      </c>
      <c r="N16" s="33"/>
      <c r="O16" s="33" t="s">
        <v>189</v>
      </c>
    </row>
    <row r="17" customFormat="false" ht="15" hidden="false" customHeight="true" outlineLevel="0" collapsed="false">
      <c r="A17" s="31" t="s">
        <v>669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670</v>
      </c>
      <c r="F17" s="31" t="s">
        <v>671</v>
      </c>
      <c r="G17" s="31" t="s">
        <v>672</v>
      </c>
      <c r="H17" s="31" t="s">
        <v>673</v>
      </c>
      <c r="I17" s="31" t="s">
        <v>168</v>
      </c>
      <c r="J17" s="33" t="s">
        <v>599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674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645</v>
      </c>
      <c r="F18" s="31" t="s">
        <v>675</v>
      </c>
      <c r="G18" s="31" t="s">
        <v>676</v>
      </c>
      <c r="H18" s="31" t="s">
        <v>509</v>
      </c>
      <c r="I18" s="31" t="s">
        <v>161</v>
      </c>
      <c r="J18" s="33" t="s">
        <v>599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677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678</v>
      </c>
      <c r="F19" s="31" t="s">
        <v>679</v>
      </c>
      <c r="G19" s="31" t="s">
        <v>680</v>
      </c>
      <c r="H19" s="31" t="s">
        <v>681</v>
      </c>
      <c r="I19" s="31" t="s">
        <v>168</v>
      </c>
      <c r="J19" s="33" t="s">
        <v>599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682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683</v>
      </c>
      <c r="G20" s="31" t="s">
        <v>684</v>
      </c>
      <c r="H20" s="31" t="s">
        <v>685</v>
      </c>
      <c r="I20" s="31" t="s">
        <v>238</v>
      </c>
      <c r="J20" s="33" t="s">
        <v>599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686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638</v>
      </c>
      <c r="F21" s="31" t="s">
        <v>687</v>
      </c>
      <c r="G21" s="31" t="s">
        <v>559</v>
      </c>
      <c r="H21" s="31" t="s">
        <v>558</v>
      </c>
      <c r="I21" s="31" t="s">
        <v>161</v>
      </c>
      <c r="J21" s="33" t="s">
        <v>599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688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689</v>
      </c>
      <c r="F22" s="31" t="s">
        <v>690</v>
      </c>
      <c r="G22" s="31" t="s">
        <v>691</v>
      </c>
      <c r="H22" s="31" t="s">
        <v>692</v>
      </c>
      <c r="I22" s="31" t="s">
        <v>161</v>
      </c>
      <c r="J22" s="33" t="s">
        <v>599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693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694</v>
      </c>
      <c r="F23" s="31" t="s">
        <v>695</v>
      </c>
      <c r="G23" s="31" t="s">
        <v>696</v>
      </c>
      <c r="H23" s="31" t="s">
        <v>421</v>
      </c>
      <c r="I23" s="31" t="s">
        <v>161</v>
      </c>
      <c r="J23" s="33" t="s">
        <v>599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697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689</v>
      </c>
      <c r="F24" s="31" t="s">
        <v>698</v>
      </c>
      <c r="G24" s="31" t="s">
        <v>699</v>
      </c>
      <c r="H24" s="31" t="s">
        <v>700</v>
      </c>
      <c r="I24" s="31" t="s">
        <v>168</v>
      </c>
      <c r="J24" s="33" t="s">
        <v>599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701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702</v>
      </c>
      <c r="F25" s="31" t="s">
        <v>703</v>
      </c>
      <c r="G25" s="31" t="s">
        <v>704</v>
      </c>
      <c r="H25" s="31" t="s">
        <v>351</v>
      </c>
      <c r="I25" s="31" t="s">
        <v>161</v>
      </c>
      <c r="J25" s="33" t="s">
        <v>599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705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596</v>
      </c>
      <c r="F26" s="31" t="s">
        <v>706</v>
      </c>
      <c r="G26" s="31" t="s">
        <v>707</v>
      </c>
      <c r="H26" s="31" t="s">
        <v>442</v>
      </c>
      <c r="I26" s="31" t="s">
        <v>161</v>
      </c>
      <c r="J26" s="33" t="s">
        <v>599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708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694</v>
      </c>
      <c r="F27" s="31" t="s">
        <v>709</v>
      </c>
      <c r="G27" s="31" t="s">
        <v>710</v>
      </c>
      <c r="H27" s="31" t="s">
        <v>711</v>
      </c>
      <c r="I27" s="31" t="s">
        <v>161</v>
      </c>
      <c r="J27" s="33" t="s">
        <v>599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712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713</v>
      </c>
      <c r="F28" s="31" t="s">
        <v>714</v>
      </c>
      <c r="G28" s="31" t="s">
        <v>715</v>
      </c>
      <c r="H28" s="31" t="s">
        <v>344</v>
      </c>
      <c r="I28" s="31" t="s">
        <v>168</v>
      </c>
      <c r="J28" s="33" t="s">
        <v>599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716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717</v>
      </c>
      <c r="F29" s="31" t="s">
        <v>718</v>
      </c>
      <c r="G29" s="31" t="s">
        <v>719</v>
      </c>
      <c r="H29" s="31" t="s">
        <v>720</v>
      </c>
      <c r="I29" s="31" t="s">
        <v>161</v>
      </c>
      <c r="J29" s="33" t="s">
        <v>599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721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722</v>
      </c>
      <c r="F30" s="31" t="s">
        <v>723</v>
      </c>
      <c r="G30" s="31" t="s">
        <v>724</v>
      </c>
      <c r="H30" s="31" t="s">
        <v>725</v>
      </c>
      <c r="I30" s="31" t="s">
        <v>161</v>
      </c>
      <c r="J30" s="33" t="s">
        <v>599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726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727</v>
      </c>
      <c r="F31" s="31" t="s">
        <v>728</v>
      </c>
      <c r="G31" s="31" t="s">
        <v>729</v>
      </c>
      <c r="H31" s="31" t="s">
        <v>391</v>
      </c>
      <c r="I31" s="31" t="s">
        <v>161</v>
      </c>
      <c r="J31" s="33" t="s">
        <v>599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730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731</v>
      </c>
      <c r="F32" s="31" t="s">
        <v>732</v>
      </c>
      <c r="G32" s="31" t="s">
        <v>733</v>
      </c>
      <c r="H32" s="31" t="s">
        <v>429</v>
      </c>
      <c r="I32" s="31" t="s">
        <v>168</v>
      </c>
      <c r="J32" s="33" t="s">
        <v>599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734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735</v>
      </c>
      <c r="F33" s="31" t="s">
        <v>736</v>
      </c>
      <c r="G33" s="31" t="s">
        <v>737</v>
      </c>
      <c r="H33" s="31" t="s">
        <v>366</v>
      </c>
      <c r="I33" s="31" t="s">
        <v>168</v>
      </c>
      <c r="J33" s="33" t="s">
        <v>599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738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739</v>
      </c>
      <c r="F34" s="31" t="s">
        <v>740</v>
      </c>
      <c r="G34" s="31" t="s">
        <v>741</v>
      </c>
      <c r="H34" s="31" t="s">
        <v>742</v>
      </c>
      <c r="I34" s="31" t="s">
        <v>161</v>
      </c>
      <c r="J34" s="33" t="s">
        <v>599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743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713</v>
      </c>
      <c r="F35" s="31" t="s">
        <v>744</v>
      </c>
      <c r="G35" s="31" t="s">
        <v>745</v>
      </c>
      <c r="H35" s="31" t="s">
        <v>554</v>
      </c>
      <c r="I35" s="31" t="s">
        <v>161</v>
      </c>
      <c r="J35" s="33" t="s">
        <v>599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746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747</v>
      </c>
      <c r="F36" s="31" t="s">
        <v>748</v>
      </c>
      <c r="G36" s="31" t="s">
        <v>749</v>
      </c>
      <c r="H36" s="31" t="s">
        <v>451</v>
      </c>
      <c r="I36" s="31" t="s">
        <v>168</v>
      </c>
      <c r="J36" s="33" t="s">
        <v>599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750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751</v>
      </c>
      <c r="F37" s="31" t="s">
        <v>752</v>
      </c>
      <c r="G37" s="31" t="s">
        <v>388</v>
      </c>
      <c r="H37" s="31" t="s">
        <v>387</v>
      </c>
      <c r="I37" s="31" t="s">
        <v>168</v>
      </c>
      <c r="J37" s="33" t="s">
        <v>599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753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754</v>
      </c>
      <c r="F38" s="31" t="s">
        <v>755</v>
      </c>
      <c r="G38" s="31" t="s">
        <v>756</v>
      </c>
      <c r="H38" s="31" t="s">
        <v>757</v>
      </c>
      <c r="I38" s="31" t="s">
        <v>161</v>
      </c>
      <c r="J38" s="33" t="s">
        <v>599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758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638</v>
      </c>
      <c r="F39" s="31" t="s">
        <v>759</v>
      </c>
      <c r="G39" s="31" t="s">
        <v>760</v>
      </c>
      <c r="H39" s="31" t="s">
        <v>353</v>
      </c>
      <c r="I39" s="31" t="s">
        <v>161</v>
      </c>
      <c r="J39" s="33" t="s">
        <v>599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761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735</v>
      </c>
      <c r="F40" s="31" t="s">
        <v>762</v>
      </c>
      <c r="G40" s="31" t="s">
        <v>763</v>
      </c>
      <c r="H40" s="31" t="s">
        <v>572</v>
      </c>
      <c r="I40" s="31" t="s">
        <v>238</v>
      </c>
      <c r="J40" s="33" t="s">
        <v>599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764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765</v>
      </c>
      <c r="F41" s="31" t="s">
        <v>766</v>
      </c>
      <c r="G41" s="31" t="s">
        <v>767</v>
      </c>
      <c r="H41" s="31" t="s">
        <v>768</v>
      </c>
      <c r="I41" s="31" t="s">
        <v>168</v>
      </c>
      <c r="J41" s="33" t="s">
        <v>599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769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770</v>
      </c>
      <c r="F42" s="31" t="s">
        <v>771</v>
      </c>
      <c r="G42" s="31" t="s">
        <v>772</v>
      </c>
      <c r="H42" s="31" t="s">
        <v>470</v>
      </c>
      <c r="I42" s="31" t="s">
        <v>161</v>
      </c>
      <c r="J42" s="33" t="s">
        <v>599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773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770</v>
      </c>
      <c r="F43" s="31" t="s">
        <v>774</v>
      </c>
      <c r="G43" s="31" t="s">
        <v>775</v>
      </c>
      <c r="H43" s="31" t="s">
        <v>470</v>
      </c>
      <c r="I43" s="31" t="s">
        <v>161</v>
      </c>
      <c r="J43" s="33" t="s">
        <v>599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776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777</v>
      </c>
      <c r="F44" s="31" t="s">
        <v>778</v>
      </c>
      <c r="G44" s="31" t="s">
        <v>779</v>
      </c>
      <c r="H44" s="31" t="s">
        <v>470</v>
      </c>
      <c r="I44" s="31" t="s">
        <v>168</v>
      </c>
      <c r="J44" s="33" t="s">
        <v>599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780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781</v>
      </c>
      <c r="F45" s="31" t="s">
        <v>782</v>
      </c>
      <c r="G45" s="31" t="s">
        <v>783</v>
      </c>
      <c r="H45" s="31" t="s">
        <v>483</v>
      </c>
      <c r="I45" s="31" t="s">
        <v>161</v>
      </c>
      <c r="J45" s="33" t="s">
        <v>599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784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770</v>
      </c>
      <c r="F46" s="31" t="s">
        <v>785</v>
      </c>
      <c r="G46" s="31" t="s">
        <v>786</v>
      </c>
      <c r="H46" s="31" t="s">
        <v>470</v>
      </c>
      <c r="I46" s="31" t="s">
        <v>168</v>
      </c>
      <c r="J46" s="33" t="s">
        <v>599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787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722</v>
      </c>
      <c r="F47" s="31" t="s">
        <v>788</v>
      </c>
      <c r="G47" s="31" t="s">
        <v>789</v>
      </c>
      <c r="H47" s="31" t="s">
        <v>790</v>
      </c>
      <c r="I47" s="31" t="s">
        <v>168</v>
      </c>
      <c r="J47" s="33" t="s">
        <v>599</v>
      </c>
      <c r="K47" s="33" t="s">
        <v>68</v>
      </c>
      <c r="L47" s="36"/>
      <c r="M47" s="33"/>
      <c r="N47" s="33"/>
      <c r="O47" s="33"/>
    </row>
    <row r="48" customFormat="false" ht="91" hidden="false" customHeight="false" outlineLevel="0" collapsed="false">
      <c r="A48" s="31" t="s">
        <v>791</v>
      </c>
      <c r="B48" s="31" t="s">
        <v>5</v>
      </c>
      <c r="C48" s="31" t="s">
        <v>131</v>
      </c>
      <c r="D48" s="31" t="str">
        <f aca="false">IFERROR(INDEX(Test_Catalog!$C$2:$C$48,MATCH(C48,Test_Catalog!$A$2:$A$48,0)),"")</f>
        <v>Black</v>
      </c>
      <c r="E48" s="31" t="s">
        <v>792</v>
      </c>
      <c r="F48" s="31" t="s">
        <v>793</v>
      </c>
      <c r="G48" s="31" t="s">
        <v>794</v>
      </c>
      <c r="H48" s="31" t="s">
        <v>795</v>
      </c>
      <c r="I48" s="31" t="s">
        <v>168</v>
      </c>
      <c r="J48" s="33" t="s">
        <v>599</v>
      </c>
      <c r="K48" s="33" t="s">
        <v>378</v>
      </c>
      <c r="L48" s="36" t="n">
        <v>46320</v>
      </c>
      <c r="M48" s="33" t="s">
        <v>796</v>
      </c>
      <c r="N48" s="33"/>
      <c r="O48" s="33" t="s">
        <v>797</v>
      </c>
    </row>
    <row r="49" customFormat="false" ht="57.45" hidden="false" customHeight="false" outlineLevel="0" collapsed="false">
      <c r="A49" s="31" t="s">
        <v>798</v>
      </c>
      <c r="B49" s="31" t="s">
        <v>5</v>
      </c>
      <c r="C49" s="31" t="s">
        <v>128</v>
      </c>
      <c r="D49" s="31" t="str">
        <f aca="false">IFERROR(INDEX(Test_Catalog!$C$2:$C$48,MATCH(C49,Test_Catalog!$A$2:$A$48,0)),"")</f>
        <v>White</v>
      </c>
      <c r="E49" s="31" t="s">
        <v>799</v>
      </c>
      <c r="F49" s="31" t="s">
        <v>800</v>
      </c>
      <c r="G49" s="31" t="s">
        <v>801</v>
      </c>
      <c r="H49" s="31" t="s">
        <v>795</v>
      </c>
      <c r="I49" s="31" t="s">
        <v>161</v>
      </c>
      <c r="J49" s="33" t="s">
        <v>599</v>
      </c>
      <c r="K49" s="33" t="s">
        <v>378</v>
      </c>
      <c r="L49" s="36" t="n">
        <v>46320</v>
      </c>
      <c r="M49" s="33" t="s">
        <v>802</v>
      </c>
      <c r="N49" s="33"/>
      <c r="O49" s="33" t="s">
        <v>797</v>
      </c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803</v>
      </c>
      <c r="B1" s="13" t="s">
        <v>140</v>
      </c>
      <c r="C1" s="13" t="s">
        <v>310</v>
      </c>
      <c r="D1" s="13" t="s">
        <v>804</v>
      </c>
      <c r="E1" s="13" t="s">
        <v>805</v>
      </c>
      <c r="F1" s="13" t="s">
        <v>806</v>
      </c>
      <c r="G1" s="13" t="s">
        <v>91</v>
      </c>
      <c r="H1" s="13" t="s">
        <v>807</v>
      </c>
      <c r="I1" s="13" t="s">
        <v>808</v>
      </c>
      <c r="J1" s="13" t="s">
        <v>809</v>
      </c>
      <c r="K1" s="13" t="s">
        <v>810</v>
      </c>
      <c r="L1" s="13" t="s">
        <v>811</v>
      </c>
      <c r="M1" s="13" t="s">
        <v>594</v>
      </c>
      <c r="N1" s="13" t="s">
        <v>155</v>
      </c>
    </row>
    <row r="2" customFormat="false" ht="23.25" hidden="false" customHeight="true" outlineLevel="0" collapsed="false">
      <c r="A2" s="28" t="s">
        <v>812</v>
      </c>
      <c r="B2" s="28" t="s">
        <v>157</v>
      </c>
      <c r="C2" s="28" t="s">
        <v>42</v>
      </c>
      <c r="D2" s="28" t="s">
        <v>813</v>
      </c>
      <c r="E2" s="28" t="s">
        <v>814</v>
      </c>
      <c r="F2" s="37" t="n">
        <v>50</v>
      </c>
      <c r="G2" s="28" t="s">
        <v>815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470</v>
      </c>
      <c r="K2" s="28" t="s">
        <v>816</v>
      </c>
      <c r="L2" s="29" t="n">
        <v>46338</v>
      </c>
      <c r="M2" s="28" t="s">
        <v>817</v>
      </c>
      <c r="N2" s="28"/>
    </row>
    <row r="3" customFormat="false" ht="15" hidden="false" customHeight="true" outlineLevel="0" collapsed="false">
      <c r="A3" s="31" t="s">
        <v>818</v>
      </c>
      <c r="B3" s="31" t="s">
        <v>5</v>
      </c>
      <c r="C3" s="31" t="s">
        <v>819</v>
      </c>
      <c r="D3" s="31" t="s">
        <v>820</v>
      </c>
      <c r="E3" s="31" t="s">
        <v>821</v>
      </c>
      <c r="F3" s="38" t="n">
        <v>0.999</v>
      </c>
      <c r="G3" s="31" t="s">
        <v>822</v>
      </c>
      <c r="H3" s="39"/>
      <c r="I3" s="31" t="str">
        <f aca="false">IF(H3="","PENDING",IF(E3="&lt;=",IF(H3&lt;=F3,"PASS","FAIL"),IF(H3&gt;=F3,"PASS","FAIL")))</f>
        <v>PENDING</v>
      </c>
      <c r="J3" s="31" t="s">
        <v>823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824</v>
      </c>
      <c r="B4" s="31" t="s">
        <v>5</v>
      </c>
      <c r="C4" s="31" t="s">
        <v>42</v>
      </c>
      <c r="D4" s="31" t="s">
        <v>825</v>
      </c>
      <c r="E4" s="31" t="s">
        <v>814</v>
      </c>
      <c r="F4" s="40" t="n">
        <v>300</v>
      </c>
      <c r="G4" s="31" t="s">
        <v>815</v>
      </c>
      <c r="H4" s="41"/>
      <c r="I4" s="31" t="str">
        <f aca="false">IF(H4="","PENDING",IF(E4="&lt;=",IF(H4&lt;=F4,"PASS","FAIL"),IF(H4&gt;=F4,"PASS","FAIL")))</f>
        <v>PENDING</v>
      </c>
      <c r="J4" s="31" t="s">
        <v>372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826</v>
      </c>
      <c r="B5" s="31" t="s">
        <v>5</v>
      </c>
      <c r="C5" s="31" t="s">
        <v>827</v>
      </c>
      <c r="D5" s="31" t="s">
        <v>828</v>
      </c>
      <c r="E5" s="31" t="s">
        <v>814</v>
      </c>
      <c r="F5" s="40" t="n">
        <v>10</v>
      </c>
      <c r="G5" s="31" t="s">
        <v>829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830</v>
      </c>
      <c r="K5" s="33" t="s">
        <v>831</v>
      </c>
      <c r="L5" s="36" t="n">
        <v>46318</v>
      </c>
      <c r="M5" s="33" t="s">
        <v>636</v>
      </c>
      <c r="N5" s="33" t="s">
        <v>832</v>
      </c>
    </row>
    <row r="6" customFormat="false" ht="15" hidden="false" customHeight="true" outlineLevel="0" collapsed="false">
      <c r="A6" s="31" t="s">
        <v>833</v>
      </c>
      <c r="B6" s="31" t="s">
        <v>5</v>
      </c>
      <c r="C6" s="31" t="s">
        <v>827</v>
      </c>
      <c r="D6" s="31" t="s">
        <v>834</v>
      </c>
      <c r="E6" s="31" t="s">
        <v>821</v>
      </c>
      <c r="F6" s="40" t="n">
        <v>5</v>
      </c>
      <c r="G6" s="31" t="s">
        <v>835</v>
      </c>
      <c r="H6" s="41"/>
      <c r="I6" s="31" t="str">
        <f aca="false">IF(H6="","PENDING",IF(E6="&lt;=",IF(H6&lt;=F6,"PASS","FAIL"),IF(H6&gt;=F6,"PASS","FAIL")))</f>
        <v>PENDING</v>
      </c>
      <c r="J6" s="31" t="s">
        <v>836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837</v>
      </c>
      <c r="B7" s="31" t="s">
        <v>5</v>
      </c>
      <c r="C7" s="31" t="s">
        <v>827</v>
      </c>
      <c r="D7" s="31" t="s">
        <v>838</v>
      </c>
      <c r="E7" s="31" t="s">
        <v>814</v>
      </c>
      <c r="F7" s="38" t="n">
        <v>0.15</v>
      </c>
      <c r="G7" s="31" t="s">
        <v>822</v>
      </c>
      <c r="H7" s="39"/>
      <c r="I7" s="31" t="str">
        <f aca="false">IF(H7="","PENDING",IF(E7="&lt;=",IF(H7&lt;=F7,"PASS","FAIL"),IF(H7&gt;=F7,"PASS","FAIL")))</f>
        <v>PENDING</v>
      </c>
      <c r="J7" s="31" t="s">
        <v>839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840</v>
      </c>
      <c r="B8" s="31" t="s">
        <v>5</v>
      </c>
      <c r="C8" s="31" t="s">
        <v>827</v>
      </c>
      <c r="D8" s="31" t="s">
        <v>841</v>
      </c>
      <c r="E8" s="31" t="s">
        <v>814</v>
      </c>
      <c r="F8" s="40" t="n">
        <v>30</v>
      </c>
      <c r="G8" s="31" t="s">
        <v>829</v>
      </c>
      <c r="H8" s="41"/>
      <c r="I8" s="31" t="str">
        <f aca="false">IF(H8="","PENDING",IF(E8="&lt;=",IF(H8&lt;=F8,"PASS","FAIL"),IF(H8&gt;=F8,"PASS","FAIL")))</f>
        <v>PENDING</v>
      </c>
      <c r="J8" s="31" t="s">
        <v>839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842</v>
      </c>
      <c r="B9" s="31" t="s">
        <v>5</v>
      </c>
      <c r="C9" s="31" t="s">
        <v>209</v>
      </c>
      <c r="D9" s="31" t="s">
        <v>843</v>
      </c>
      <c r="E9" s="31" t="s">
        <v>814</v>
      </c>
      <c r="F9" s="40" t="n">
        <v>0</v>
      </c>
      <c r="G9" s="31" t="s">
        <v>844</v>
      </c>
      <c r="H9" s="41" t="n">
        <v>0</v>
      </c>
      <c r="I9" s="31" t="str">
        <f aca="false">IF(H9="","PENDING",IF(E9="&lt;=",IF(H9&lt;=F9,"PASS","FAIL"),IF(H9&gt;=F9,"PASS","FAIL")))</f>
        <v>PASS</v>
      </c>
      <c r="J9" s="31" t="s">
        <v>630</v>
      </c>
      <c r="K9" s="33" t="s">
        <v>845</v>
      </c>
      <c r="L9" s="36" t="n">
        <v>46320</v>
      </c>
      <c r="M9" s="33" t="s">
        <v>846</v>
      </c>
      <c r="N9" s="33" t="s">
        <v>847</v>
      </c>
    </row>
    <row r="10" customFormat="false" ht="15" hidden="false" customHeight="true" outlineLevel="0" collapsed="false">
      <c r="A10" s="31" t="s">
        <v>848</v>
      </c>
      <c r="B10" s="31" t="s">
        <v>5</v>
      </c>
      <c r="C10" s="31" t="s">
        <v>849</v>
      </c>
      <c r="D10" s="31" t="s">
        <v>850</v>
      </c>
      <c r="E10" s="31" t="s">
        <v>814</v>
      </c>
      <c r="F10" s="40" t="n">
        <v>5</v>
      </c>
      <c r="G10" s="31" t="s">
        <v>829</v>
      </c>
      <c r="H10" s="41"/>
      <c r="I10" s="31" t="str">
        <f aca="false">IF(H10="","PENDING",IF(E10="&lt;=",IF(H10&lt;=F10,"PASS","FAIL"),IF(H10&gt;=F10,"PASS","FAIL")))</f>
        <v>PENDING</v>
      </c>
      <c r="J10" s="31" t="s">
        <v>851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852</v>
      </c>
      <c r="B11" s="31" t="s">
        <v>5</v>
      </c>
      <c r="C11" s="31" t="s">
        <v>849</v>
      </c>
      <c r="D11" s="31" t="s">
        <v>853</v>
      </c>
      <c r="E11" s="31" t="s">
        <v>814</v>
      </c>
      <c r="F11" s="40" t="n">
        <v>30</v>
      </c>
      <c r="G11" s="31" t="s">
        <v>829</v>
      </c>
      <c r="H11" s="41"/>
      <c r="I11" s="31" t="str">
        <f aca="false">IF(H11="","PENDING",IF(E11="&lt;=",IF(H11&lt;=F11,"PASS","FAIL"),IF(H11&gt;=F11,"PASS","FAIL")))</f>
        <v>PENDING</v>
      </c>
      <c r="J11" s="31" t="s">
        <v>851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854</v>
      </c>
      <c r="B12" s="31" t="s">
        <v>7</v>
      </c>
      <c r="C12" s="31" t="s">
        <v>855</v>
      </c>
      <c r="D12" s="31" t="s">
        <v>856</v>
      </c>
      <c r="E12" s="31" t="s">
        <v>821</v>
      </c>
      <c r="F12" s="40" t="n">
        <v>10000</v>
      </c>
      <c r="G12" s="31" t="s">
        <v>857</v>
      </c>
      <c r="H12" s="41"/>
      <c r="I12" s="31" t="str">
        <f aca="false">IF(H12="","PENDING",IF(E12="&lt;=",IF(H12&lt;=F12,"PASS","FAIL"),IF(H12&gt;=F12,"PASS","FAIL")))</f>
        <v>PENDING</v>
      </c>
      <c r="J12" s="31" t="s">
        <v>470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858</v>
      </c>
      <c r="B13" s="31" t="s">
        <v>7</v>
      </c>
      <c r="C13" s="31" t="s">
        <v>42</v>
      </c>
      <c r="D13" s="31" t="s">
        <v>859</v>
      </c>
      <c r="E13" s="31" t="s">
        <v>814</v>
      </c>
      <c r="F13" s="40" t="n">
        <v>25</v>
      </c>
      <c r="G13" s="31" t="s">
        <v>815</v>
      </c>
      <c r="H13" s="41"/>
      <c r="I13" s="31" t="str">
        <f aca="false">IF(H13="","PENDING",IF(E13="&lt;=",IF(H13&lt;=F13,"PASS","FAIL"),IF(H13&gt;=F13,"PASS","FAIL")))</f>
        <v>PENDING</v>
      </c>
      <c r="J13" s="31" t="s">
        <v>470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860</v>
      </c>
      <c r="B14" s="31" t="s">
        <v>7</v>
      </c>
      <c r="C14" s="31" t="s">
        <v>42</v>
      </c>
      <c r="D14" s="31" t="s">
        <v>861</v>
      </c>
      <c r="E14" s="31" t="s">
        <v>814</v>
      </c>
      <c r="F14" s="40" t="n">
        <v>50</v>
      </c>
      <c r="G14" s="31" t="s">
        <v>815</v>
      </c>
      <c r="H14" s="41"/>
      <c r="I14" s="31" t="str">
        <f aca="false">IF(H14="","PENDING",IF(E14="&lt;=",IF(H14&lt;=F14,"PASS","FAIL"),IF(H14&gt;=F14,"PASS","FAIL")))</f>
        <v>PENDING</v>
      </c>
      <c r="J14" s="31" t="s">
        <v>470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862</v>
      </c>
      <c r="B15" s="31" t="s">
        <v>7</v>
      </c>
      <c r="C15" s="31" t="s">
        <v>863</v>
      </c>
      <c r="D15" s="31" t="s">
        <v>864</v>
      </c>
      <c r="E15" s="31" t="s">
        <v>814</v>
      </c>
      <c r="F15" s="38" t="n">
        <v>0.001</v>
      </c>
      <c r="G15" s="31" t="s">
        <v>822</v>
      </c>
      <c r="H15" s="39"/>
      <c r="I15" s="31" t="str">
        <f aca="false">IF(H15="","PENDING",IF(E15="&lt;=",IF(H15&lt;=F15,"PASS","FAIL"),IF(H15&gt;=F15,"PASS","FAIL")))</f>
        <v>PENDING</v>
      </c>
      <c r="J15" s="31" t="s">
        <v>470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865</v>
      </c>
      <c r="B16" s="31" t="s">
        <v>7</v>
      </c>
      <c r="C16" s="31" t="s">
        <v>866</v>
      </c>
      <c r="D16" s="31" t="s">
        <v>867</v>
      </c>
      <c r="E16" s="31" t="s">
        <v>814</v>
      </c>
      <c r="F16" s="40" t="n">
        <v>0</v>
      </c>
      <c r="G16" s="31" t="s">
        <v>868</v>
      </c>
      <c r="H16" s="41"/>
      <c r="I16" s="31" t="str">
        <f aca="false">IF(H16="","PENDING",IF(E16="&lt;=",IF(H16&lt;=F16,"PASS","FAIL"),IF(H16&gt;=F16,"PASS","FAIL")))</f>
        <v>PENDING</v>
      </c>
      <c r="J16" s="31" t="s">
        <v>742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869</v>
      </c>
      <c r="B17" s="31" t="s">
        <v>7</v>
      </c>
      <c r="C17" s="31" t="s">
        <v>866</v>
      </c>
      <c r="D17" s="31" t="s">
        <v>870</v>
      </c>
      <c r="E17" s="31" t="s">
        <v>814</v>
      </c>
      <c r="F17" s="40" t="n">
        <v>0</v>
      </c>
      <c r="G17" s="31" t="s">
        <v>844</v>
      </c>
      <c r="H17" s="41"/>
      <c r="I17" s="31" t="str">
        <f aca="false">IF(H17="","PENDING",IF(E17="&lt;=",IF(H17&lt;=F17,"PASS","FAIL"),IF(H17&gt;=F17,"PASS","FAIL")))</f>
        <v>PENDING</v>
      </c>
      <c r="J17" s="31" t="s">
        <v>871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872</v>
      </c>
      <c r="B18" s="31" t="s">
        <v>7</v>
      </c>
      <c r="C18" s="31" t="s">
        <v>873</v>
      </c>
      <c r="D18" s="31" t="s">
        <v>874</v>
      </c>
      <c r="E18" s="31" t="s">
        <v>821</v>
      </c>
      <c r="F18" s="38" t="n">
        <v>0.999</v>
      </c>
      <c r="G18" s="31" t="s">
        <v>822</v>
      </c>
      <c r="H18" s="39"/>
      <c r="I18" s="31" t="str">
        <f aca="false">IF(H18="","PENDING",IF(E18="&lt;=",IF(H18&lt;=F18,"PASS","FAIL"),IF(H18&gt;=F18,"PASS","FAIL")))</f>
        <v>PENDING</v>
      </c>
      <c r="J18" s="31" t="s">
        <v>875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876</v>
      </c>
      <c r="B19" s="31" t="s">
        <v>7</v>
      </c>
      <c r="C19" s="31" t="s">
        <v>42</v>
      </c>
      <c r="D19" s="31" t="s">
        <v>877</v>
      </c>
      <c r="E19" s="31" t="s">
        <v>814</v>
      </c>
      <c r="F19" s="40" t="n">
        <v>2</v>
      </c>
      <c r="G19" s="31" t="s">
        <v>878</v>
      </c>
      <c r="H19" s="41"/>
      <c r="I19" s="31" t="str">
        <f aca="false">IF(H19="","PENDING",IF(E19="&lt;=",IF(H19&lt;=F19,"PASS","FAIL"),IF(H19&gt;=F19,"PASS","FAIL")))</f>
        <v>PENDING</v>
      </c>
      <c r="J19" s="31" t="s">
        <v>879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880</v>
      </c>
      <c r="B20" s="31" t="s">
        <v>7</v>
      </c>
      <c r="C20" s="31" t="s">
        <v>881</v>
      </c>
      <c r="D20" s="31" t="s">
        <v>882</v>
      </c>
      <c r="E20" s="31" t="s">
        <v>814</v>
      </c>
      <c r="F20" s="40" t="n">
        <v>15</v>
      </c>
      <c r="G20" s="31" t="s">
        <v>829</v>
      </c>
      <c r="H20" s="41"/>
      <c r="I20" s="31" t="str">
        <f aca="false">IF(H20="","PENDING",IF(E20="&lt;=",IF(H20&lt;=F20,"PASS","FAIL"),IF(H20&gt;=F20,"PASS","FAIL")))</f>
        <v>PENDING</v>
      </c>
      <c r="J20" s="31" t="s">
        <v>883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884</v>
      </c>
      <c r="B21" s="31" t="s">
        <v>7</v>
      </c>
      <c r="C21" s="31" t="s">
        <v>885</v>
      </c>
      <c r="D21" s="31" t="s">
        <v>886</v>
      </c>
      <c r="E21" s="31" t="s">
        <v>821</v>
      </c>
      <c r="F21" s="38" t="n">
        <v>0.9</v>
      </c>
      <c r="G21" s="31" t="s">
        <v>822</v>
      </c>
      <c r="H21" s="39"/>
      <c r="I21" s="31" t="str">
        <f aca="false">IF(H21="","PENDING",IF(E21="&lt;=",IF(H21&lt;=F21,"PASS","FAIL"),IF(H21&gt;=F21,"PASS","FAIL")))</f>
        <v>PENDING</v>
      </c>
      <c r="J21" s="31" t="s">
        <v>399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887</v>
      </c>
      <c r="B22" s="31" t="s">
        <v>7</v>
      </c>
      <c r="C22" s="31" t="s">
        <v>885</v>
      </c>
      <c r="D22" s="31" t="s">
        <v>888</v>
      </c>
      <c r="E22" s="31" t="s">
        <v>821</v>
      </c>
      <c r="F22" s="38" t="n">
        <v>0.75</v>
      </c>
      <c r="G22" s="31" t="s">
        <v>822</v>
      </c>
      <c r="H22" s="39"/>
      <c r="I22" s="31" t="str">
        <f aca="false">IF(H22="","PENDING",IF(E22="&lt;=",IF(H22&lt;=F22,"PASS","FAIL"),IF(H22&gt;=F22,"PASS","FAIL")))</f>
        <v>PENDING</v>
      </c>
      <c r="J22" s="31" t="s">
        <v>700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889</v>
      </c>
      <c r="B23" s="31" t="s">
        <v>7</v>
      </c>
      <c r="C23" s="31" t="s">
        <v>819</v>
      </c>
      <c r="D23" s="31" t="s">
        <v>890</v>
      </c>
      <c r="E23" s="31" t="s">
        <v>821</v>
      </c>
      <c r="F23" s="38" t="n">
        <v>0.9995</v>
      </c>
      <c r="G23" s="31" t="s">
        <v>822</v>
      </c>
      <c r="H23" s="39"/>
      <c r="I23" s="31" t="str">
        <f aca="false">IF(H23="","PENDING",IF(E23="&lt;=",IF(H23&lt;=F23,"PASS","FAIL"),IF(H23&gt;=F23,"PASS","FAIL")))</f>
        <v>PENDING</v>
      </c>
      <c r="J23" s="31" t="s">
        <v>823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891</v>
      </c>
      <c r="B1" s="13" t="s">
        <v>140</v>
      </c>
      <c r="C1" s="13" t="s">
        <v>88</v>
      </c>
      <c r="D1" s="13" t="s">
        <v>587</v>
      </c>
      <c r="E1" s="13" t="s">
        <v>589</v>
      </c>
      <c r="F1" s="13" t="s">
        <v>892</v>
      </c>
      <c r="G1" s="13" t="s">
        <v>893</v>
      </c>
      <c r="H1" s="13" t="s">
        <v>894</v>
      </c>
      <c r="I1" s="13" t="s">
        <v>895</v>
      </c>
      <c r="J1" s="13" t="s">
        <v>896</v>
      </c>
      <c r="K1" s="13" t="s">
        <v>897</v>
      </c>
      <c r="L1" s="13" t="s">
        <v>898</v>
      </c>
      <c r="M1" s="13" t="s">
        <v>899</v>
      </c>
      <c r="N1" s="13" t="s">
        <v>900</v>
      </c>
      <c r="O1" s="13" t="s">
        <v>901</v>
      </c>
      <c r="P1" s="13" t="s">
        <v>902</v>
      </c>
      <c r="Q1" s="13" t="s">
        <v>903</v>
      </c>
      <c r="R1" s="13" t="s">
        <v>904</v>
      </c>
      <c r="S1" s="13" t="s">
        <v>905</v>
      </c>
      <c r="T1" s="13" t="s">
        <v>808</v>
      </c>
      <c r="U1" s="13" t="s">
        <v>811</v>
      </c>
      <c r="V1" s="13" t="s">
        <v>906</v>
      </c>
      <c r="W1" s="13" t="s">
        <v>594</v>
      </c>
    </row>
    <row r="2" customFormat="false" ht="23.25" hidden="false" customHeight="true" outlineLevel="0" collapsed="false">
      <c r="A2" s="28" t="s">
        <v>816</v>
      </c>
      <c r="B2" s="28" t="s">
        <v>157</v>
      </c>
      <c r="C2" s="28" t="s">
        <v>114</v>
      </c>
      <c r="D2" s="28" t="s">
        <v>907</v>
      </c>
      <c r="E2" s="28" t="s">
        <v>470</v>
      </c>
      <c r="F2" s="28" t="s">
        <v>908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909</v>
      </c>
      <c r="W2" s="28" t="s">
        <v>817</v>
      </c>
    </row>
    <row r="3" customFormat="false" ht="15" hidden="false" customHeight="true" outlineLevel="0" collapsed="false">
      <c r="A3" s="31" t="s">
        <v>910</v>
      </c>
      <c r="B3" s="31" t="s">
        <v>5</v>
      </c>
      <c r="C3" s="31" t="s">
        <v>114</v>
      </c>
      <c r="D3" s="31" t="s">
        <v>911</v>
      </c>
      <c r="E3" s="31" t="s">
        <v>372</v>
      </c>
      <c r="F3" s="31" t="s">
        <v>912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913</v>
      </c>
      <c r="B4" s="31" t="s">
        <v>5</v>
      </c>
      <c r="C4" s="31" t="s">
        <v>116</v>
      </c>
      <c r="D4" s="31" t="s">
        <v>914</v>
      </c>
      <c r="E4" s="31" t="s">
        <v>372</v>
      </c>
      <c r="F4" s="31" t="s">
        <v>908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915</v>
      </c>
      <c r="B5" s="31" t="s">
        <v>7</v>
      </c>
      <c r="C5" s="31" t="s">
        <v>114</v>
      </c>
      <c r="D5" s="31" t="s">
        <v>916</v>
      </c>
      <c r="E5" s="31" t="s">
        <v>470</v>
      </c>
      <c r="F5" s="31" t="s">
        <v>917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918</v>
      </c>
      <c r="B6" s="31" t="s">
        <v>7</v>
      </c>
      <c r="C6" s="31" t="s">
        <v>115</v>
      </c>
      <c r="D6" s="31" t="s">
        <v>919</v>
      </c>
      <c r="E6" s="31" t="s">
        <v>470</v>
      </c>
      <c r="F6" s="31" t="s">
        <v>908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920</v>
      </c>
      <c r="B7" s="31" t="s">
        <v>7</v>
      </c>
      <c r="C7" s="31" t="s">
        <v>116</v>
      </c>
      <c r="D7" s="31" t="s">
        <v>921</v>
      </c>
      <c r="E7" s="31" t="s">
        <v>470</v>
      </c>
      <c r="F7" s="31" t="s">
        <v>908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922</v>
      </c>
      <c r="B8" s="31" t="s">
        <v>7</v>
      </c>
      <c r="C8" s="31" t="s">
        <v>117</v>
      </c>
      <c r="D8" s="31" t="s">
        <v>923</v>
      </c>
      <c r="E8" s="31" t="s">
        <v>483</v>
      </c>
      <c r="F8" s="31" t="s">
        <v>908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924</v>
      </c>
      <c r="B9" s="31" t="s">
        <v>7</v>
      </c>
      <c r="C9" s="31" t="s">
        <v>118</v>
      </c>
      <c r="D9" s="31" t="s">
        <v>925</v>
      </c>
      <c r="E9" s="31" t="s">
        <v>470</v>
      </c>
      <c r="F9" s="31" t="s">
        <v>908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926</v>
      </c>
      <c r="B10" s="31" t="s">
        <v>7</v>
      </c>
      <c r="C10" s="31" t="s">
        <v>119</v>
      </c>
      <c r="D10" s="31" t="s">
        <v>927</v>
      </c>
      <c r="E10" s="31" t="s">
        <v>790</v>
      </c>
      <c r="F10" s="31" t="s">
        <v>908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928</v>
      </c>
      <c r="B1" s="13" t="s">
        <v>140</v>
      </c>
      <c r="C1" s="13" t="s">
        <v>929</v>
      </c>
      <c r="D1" s="13" t="s">
        <v>930</v>
      </c>
      <c r="E1" s="13" t="s">
        <v>931</v>
      </c>
      <c r="F1" s="13" t="s">
        <v>932</v>
      </c>
      <c r="G1" s="13" t="s">
        <v>933</v>
      </c>
      <c r="H1" s="13" t="s">
        <v>934</v>
      </c>
      <c r="I1" s="13" t="s">
        <v>935</v>
      </c>
      <c r="J1" s="13" t="s">
        <v>936</v>
      </c>
      <c r="K1" s="13" t="s">
        <v>937</v>
      </c>
      <c r="L1" s="13" t="s">
        <v>811</v>
      </c>
      <c r="M1" s="13" t="s">
        <v>808</v>
      </c>
      <c r="N1" s="13" t="s">
        <v>594</v>
      </c>
    </row>
    <row r="2" customFormat="false" ht="23.25" hidden="false" customHeight="true" outlineLevel="0" collapsed="false">
      <c r="A2" s="28" t="s">
        <v>938</v>
      </c>
      <c r="B2" s="28" t="s">
        <v>157</v>
      </c>
      <c r="C2" s="28" t="s">
        <v>939</v>
      </c>
      <c r="D2" s="28" t="s">
        <v>940</v>
      </c>
      <c r="E2" s="28" t="s">
        <v>941</v>
      </c>
      <c r="F2" s="28" t="s">
        <v>770</v>
      </c>
      <c r="G2" s="28" t="s">
        <v>942</v>
      </c>
      <c r="H2" s="28" t="s">
        <v>943</v>
      </c>
      <c r="I2" s="28" t="n">
        <v>12</v>
      </c>
      <c r="J2" s="28" t="n">
        <v>30</v>
      </c>
      <c r="K2" s="28" t="s">
        <v>944</v>
      </c>
      <c r="L2" s="29" t="n">
        <v>46340</v>
      </c>
      <c r="M2" s="28" t="str">
        <f aca="false">IF(I2="","NOT RUN",IF(AND(I2&lt;=J2,K2="N"),"PASS","FAIL"))</f>
        <v>PASS</v>
      </c>
      <c r="N2" s="28" t="s">
        <v>945</v>
      </c>
    </row>
    <row r="3" customFormat="false" ht="23.25" hidden="false" customHeight="true" outlineLevel="0" collapsed="false">
      <c r="A3" s="31" t="s">
        <v>946</v>
      </c>
      <c r="B3" s="31" t="s">
        <v>5</v>
      </c>
      <c r="C3" s="31" t="s">
        <v>947</v>
      </c>
      <c r="D3" s="31" t="s">
        <v>948</v>
      </c>
      <c r="E3" s="31" t="s">
        <v>949</v>
      </c>
      <c r="F3" s="31" t="s">
        <v>950</v>
      </c>
      <c r="G3" s="31" t="s">
        <v>951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952</v>
      </c>
      <c r="B4" s="31" t="s">
        <v>5</v>
      </c>
      <c r="C4" s="31" t="s">
        <v>953</v>
      </c>
      <c r="D4" s="31" t="s">
        <v>954</v>
      </c>
      <c r="E4" s="31" t="s">
        <v>955</v>
      </c>
      <c r="F4" s="31" t="s">
        <v>956</v>
      </c>
      <c r="G4" s="31" t="s">
        <v>957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958</v>
      </c>
      <c r="B5" s="31" t="s">
        <v>7</v>
      </c>
      <c r="C5" s="31" t="s">
        <v>939</v>
      </c>
      <c r="D5" s="31" t="s">
        <v>959</v>
      </c>
      <c r="E5" s="31" t="s">
        <v>960</v>
      </c>
      <c r="F5" s="31" t="s">
        <v>770</v>
      </c>
      <c r="G5" s="31" t="s">
        <v>961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962</v>
      </c>
      <c r="B6" s="31" t="s">
        <v>7</v>
      </c>
      <c r="C6" s="31" t="s">
        <v>963</v>
      </c>
      <c r="D6" s="31" t="s">
        <v>964</v>
      </c>
      <c r="E6" s="31" t="s">
        <v>965</v>
      </c>
      <c r="F6" s="31" t="s">
        <v>754</v>
      </c>
      <c r="G6" s="31" t="s">
        <v>966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967</v>
      </c>
      <c r="B7" s="31" t="s">
        <v>7</v>
      </c>
      <c r="C7" s="31" t="s">
        <v>968</v>
      </c>
      <c r="D7" s="31" t="s">
        <v>969</v>
      </c>
      <c r="E7" s="31" t="s">
        <v>970</v>
      </c>
      <c r="F7" s="31" t="s">
        <v>971</v>
      </c>
      <c r="G7" s="31" t="s">
        <v>972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973</v>
      </c>
      <c r="B8" s="31" t="s">
        <v>7</v>
      </c>
      <c r="C8" s="31" t="s">
        <v>974</v>
      </c>
      <c r="D8" s="31" t="s">
        <v>975</v>
      </c>
      <c r="E8" s="31" t="s">
        <v>976</v>
      </c>
      <c r="F8" s="31" t="s">
        <v>977</v>
      </c>
      <c r="G8" s="31" t="s">
        <v>978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979</v>
      </c>
      <c r="B9" s="31" t="s">
        <v>7</v>
      </c>
      <c r="C9" s="31" t="s">
        <v>980</v>
      </c>
      <c r="D9" s="31" t="s">
        <v>981</v>
      </c>
      <c r="E9" s="31" t="s">
        <v>982</v>
      </c>
      <c r="F9" s="31" t="s">
        <v>109</v>
      </c>
      <c r="G9" s="31" t="s">
        <v>983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984</v>
      </c>
      <c r="C1" s="13" t="s">
        <v>985</v>
      </c>
      <c r="D1" s="13" t="s">
        <v>589</v>
      </c>
      <c r="E1" s="13" t="s">
        <v>986</v>
      </c>
      <c r="F1" s="13" t="s">
        <v>987</v>
      </c>
      <c r="G1" s="13" t="s">
        <v>988</v>
      </c>
      <c r="H1" s="13" t="s">
        <v>989</v>
      </c>
      <c r="I1" s="13" t="s">
        <v>990</v>
      </c>
      <c r="J1" s="13" t="s">
        <v>991</v>
      </c>
      <c r="K1" s="13" t="s">
        <v>808</v>
      </c>
      <c r="L1" s="13" t="s">
        <v>811</v>
      </c>
      <c r="M1" s="13" t="s">
        <v>594</v>
      </c>
    </row>
    <row r="2" customFormat="false" ht="23.25" hidden="false" customHeight="true" outlineLevel="0" collapsed="false">
      <c r="A2" s="28" t="s">
        <v>157</v>
      </c>
      <c r="B2" s="28" t="s">
        <v>992</v>
      </c>
      <c r="C2" s="28" t="s">
        <v>993</v>
      </c>
      <c r="D2" s="28" t="s">
        <v>994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995</v>
      </c>
    </row>
    <row r="3" customFormat="false" ht="15" hidden="false" customHeight="true" outlineLevel="0" collapsed="false">
      <c r="A3" s="31" t="s">
        <v>5</v>
      </c>
      <c r="B3" s="31" t="s">
        <v>996</v>
      </c>
      <c r="C3" s="31" t="s">
        <v>993</v>
      </c>
      <c r="D3" s="31" t="s">
        <v>994</v>
      </c>
      <c r="E3" s="34" t="n">
        <v>0.974</v>
      </c>
      <c r="F3" s="34" t="n">
        <v>0.867</v>
      </c>
      <c r="G3" s="34" t="n">
        <v>0.88</v>
      </c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PASS</v>
      </c>
      <c r="L3" s="36" t="n">
        <v>46320</v>
      </c>
      <c r="M3" s="33" t="s">
        <v>997</v>
      </c>
    </row>
    <row r="4" customFormat="false" ht="15" hidden="false" customHeight="true" outlineLevel="0" collapsed="false">
      <c r="A4" s="31" t="s">
        <v>5</v>
      </c>
      <c r="B4" s="31" t="s">
        <v>998</v>
      </c>
      <c r="C4" s="31" t="s">
        <v>993</v>
      </c>
      <c r="D4" s="31" t="s">
        <v>994</v>
      </c>
      <c r="E4" s="34" t="n">
        <v>0.997</v>
      </c>
      <c r="F4" s="34" t="n">
        <v>0.936</v>
      </c>
      <c r="G4" s="34" t="n">
        <v>0.943</v>
      </c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PASS</v>
      </c>
      <c r="L4" s="36" t="n">
        <v>46320</v>
      </c>
      <c r="M4" s="33" t="s">
        <v>997</v>
      </c>
    </row>
    <row r="5" customFormat="false" ht="15" hidden="false" customHeight="true" outlineLevel="0" collapsed="false">
      <c r="A5" s="31" t="s">
        <v>7</v>
      </c>
      <c r="B5" s="31" t="s">
        <v>992</v>
      </c>
      <c r="C5" s="31" t="s">
        <v>993</v>
      </c>
      <c r="D5" s="31" t="s">
        <v>994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999</v>
      </c>
      <c r="C6" s="31" t="s">
        <v>993</v>
      </c>
      <c r="D6" s="31" t="s">
        <v>994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1000</v>
      </c>
      <c r="C7" s="31" t="s">
        <v>993</v>
      </c>
      <c r="D7" s="31" t="s">
        <v>994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1001</v>
      </c>
      <c r="C8" s="31" t="s">
        <v>993</v>
      </c>
      <c r="D8" s="31" t="s">
        <v>994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593</v>
      </c>
      <c r="B1" s="13" t="s">
        <v>140</v>
      </c>
      <c r="C1" s="13" t="s">
        <v>1002</v>
      </c>
      <c r="D1" s="13" t="s">
        <v>1003</v>
      </c>
      <c r="E1" s="13" t="s">
        <v>1004</v>
      </c>
      <c r="F1" s="13" t="s">
        <v>148</v>
      </c>
      <c r="G1" s="13" t="s">
        <v>1005</v>
      </c>
      <c r="H1" s="13" t="s">
        <v>1006</v>
      </c>
      <c r="I1" s="13" t="s">
        <v>1007</v>
      </c>
      <c r="J1" s="13" t="s">
        <v>1008</v>
      </c>
      <c r="K1" s="13" t="s">
        <v>1009</v>
      </c>
      <c r="L1" s="13" t="s">
        <v>1010</v>
      </c>
    </row>
    <row r="2" customFormat="false" ht="23.25" hidden="false" customHeight="true" outlineLevel="0" collapsed="false">
      <c r="A2" s="28" t="s">
        <v>1011</v>
      </c>
      <c r="B2" s="28" t="s">
        <v>157</v>
      </c>
      <c r="C2" s="28" t="s">
        <v>1012</v>
      </c>
      <c r="D2" s="28" t="s">
        <v>1013</v>
      </c>
      <c r="E2" s="28" t="s">
        <v>705</v>
      </c>
      <c r="F2" s="28" t="s">
        <v>1006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1014</v>
      </c>
      <c r="K2" s="28" t="s">
        <v>1015</v>
      </c>
      <c r="L2" s="28" t="s">
        <v>599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1016</v>
      </c>
      <c r="C1" s="13" t="s">
        <v>1017</v>
      </c>
      <c r="D1" s="13" t="s">
        <v>1018</v>
      </c>
      <c r="E1" s="13" t="s">
        <v>1019</v>
      </c>
      <c r="F1" s="13" t="s">
        <v>1020</v>
      </c>
      <c r="G1" s="13" t="s">
        <v>1021</v>
      </c>
      <c r="H1" s="13" t="s">
        <v>1022</v>
      </c>
      <c r="I1" s="13" t="s">
        <v>1023</v>
      </c>
      <c r="J1" s="13" t="s">
        <v>1024</v>
      </c>
      <c r="K1" s="13" t="s">
        <v>594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3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1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2026-10-24T19:11:59Z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