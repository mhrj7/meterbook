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Dashboard" sheetId="2" state="visible" r:id="rId2"/>
    <sheet name="Plan" sheetId="3" state="visible" r:id="rId3"/>
    <sheet name="Test_Catalog" sheetId="4" state="visible" r:id="rId4"/>
    <sheet name="Test_Cases" sheetId="5" state="visible" r:id="rId5"/>
    <sheet name="Metrics_SLOs" sheetId="6" state="visible" r:id="rId6"/>
    <sheet name="Load_Stress_Runs" sheetId="7" state="visible" r:id="rId7"/>
    <sheet name="Chaos_Resilience" sheetId="8" state="visible" r:id="rId8"/>
    <sheet name="Coverage" sheetId="9" state="visible" r:id="rId9"/>
    <sheet name="Defects" sheetId="10" state="visible" r:id="rId10"/>
    <sheet name="Weekly_Log" sheetId="11" state="visible" r:id="rId11"/>
  </sheets>
  <definedNames>
    <definedName name="_xlnm._FilterDatabase" localSheetId="2" hidden="1">'Plan'!$A$1:$R$600</definedName>
    <definedName name="_xlnm._FilterDatabase" localSheetId="3" hidden="1">'Test_Catalog'!$A$1:$K$600</definedName>
    <definedName name="_xlnm._FilterDatabase" localSheetId="4" hidden="1">'Test_Cases'!$A$1:$O$600</definedName>
    <definedName name="_xlnm._FilterDatabase" localSheetId="5" hidden="1">'Metrics_SLOs'!$A$1:$N$600</definedName>
    <definedName name="_xlnm._FilterDatabase" localSheetId="6" hidden="1">'Load_Stress_Runs'!$A$1:$W$600</definedName>
    <definedName name="_xlnm._FilterDatabase" localSheetId="7" hidden="1">'Chaos_Resilience'!$A$1:$N$600</definedName>
    <definedName name="_xlnm._FilterDatabase" localSheetId="8" hidden="1">'Coverage'!$A$1:$M$600</definedName>
    <definedName name="_xlnm._FilterDatabase" localSheetId="9" hidden="1">'Defects'!$A$1:$L$600</definedName>
    <definedName name="_xlnm._FilterDatabase" localSheetId="10" hidden="1">'Weekly_Log'!$A$1:$K$600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164" fontId="5" fillId="2" borderId="0" applyAlignment="1" pivotButton="0" quotePrefix="0" xfId="0">
      <alignment horizontal="left"/>
    </xf>
    <xf numFmtId="0" fontId="2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top" wrapText="1"/>
    </xf>
    <xf numFmtId="0" fontId="9" fillId="6" borderId="0" pivotButton="0" quotePrefix="0" xfId="0"/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9" fontId="6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9" fontId="5" fillId="2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10" fontId="2" fillId="0" borderId="1" applyAlignment="1" pivotButton="0" quotePrefix="0" xfId="0">
      <alignment vertical="top" wrapText="1"/>
    </xf>
    <xf numFmtId="10" fontId="5" fillId="2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 wrapText="1"/>
    </xf>
    <xf numFmtId="10" fontId="6" fillId="3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Tracker</author>
  </authors>
  <commentList>
    <comment ref="C6" authorId="0" shapeId="0">
      <text>
        <t>Assumption: start on the Monday after today (2026-10-23 is a Friday). Change this; every planned date in Plan and Weekly_Log moves with it.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F1" authorId="0" shapeId="0">
      <text>
        <t>Targets are engineering goals chosen for these designs, not published benchmarks.</t>
      </text>
    </comment>
  </commentList>
</comments>
</file>

<file path=xl/comments/comment3.xml><?xml version="1.0" encoding="utf-8"?>
<comments xmlns="http://schemas.openxmlformats.org/spreadsheetml/2006/main">
  <authors>
    <author>Tracker</author>
  </authors>
  <commentList>
    <comment ref="H1" authorId="0" shapeId="0">
      <text>
        <t>Unit depends on the scenario: RPS, events/s, spans/s, connections, or rows. Achieved Load must use the same unit.</t>
      </text>
    </comment>
    <comment ref="Q1" authorId="0" shapeId="0">
      <text>
        <t>0 = no latency SLO for this run (judged on throughput and errors only).</t>
      </text>
    </comment>
  </commentList>
</comments>
</file>

<file path=xl/comments/comment4.xml><?xml version="1.0" encoding="utf-8"?>
<comments xmlns="http://schemas.openxmlformats.org/spreadsheetml/2006/main">
  <authors>
    <author>Tracker</author>
  </authors>
  <commentList>
    <comment ref="J1" authorId="0" shapeId="0">
      <text>
        <t>0 = no service interruption allowed (recovery must be immediate).</t>
      </text>
    </comment>
  </commentList>
</comments>
</file>

<file path=xl/comments/comment5.xml><?xml version="1.0" encoding="utf-8"?>
<comments xmlns="http://schemas.openxmlformats.org/spreadsheetml/2006/main">
  <authors>
    <author>Tracker</author>
  </authors>
  <commentList>
    <comment ref="H1" authorId="0" shapeId="0">
      <text>
        <t>Money-handling product: stricter targets 90/85/75.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2">
      <c r="B2" s="1" t="inlineStr">
        <is>
          <t>Meterbook — Plan, Test &amp; Reliability Tracker</t>
        </is>
      </c>
    </row>
    <row r="3" ht="30" customHeight="1">
      <c r="B3" s="2" t="inlineStr">
        <is>
          <t>Meterbook: Usage-based billing and double-entry ledger for SaaS companies. Two tracks: the platform baseline every SaaS needs, then the product. Every task, test, metric, load run and chaos experiment is tracked here as evidence of reliability, not just functionality.</t>
        </is>
      </c>
    </row>
    <row r="5">
      <c r="B5" s="3" t="inlineStr">
        <is>
          <t>SETTINGS</t>
        </is>
      </c>
    </row>
    <row r="6">
      <c r="B6" s="4" t="inlineStr">
        <is>
          <t>Project start date</t>
        </is>
      </c>
      <c r="C6" s="5" t="n">
        <v>46328</v>
      </c>
    </row>
    <row r="8">
      <c r="B8" s="3" t="inlineStr">
        <is>
          <t>TRACKS</t>
        </is>
      </c>
    </row>
    <row r="9">
      <c r="B9" s="4" t="inlineStr">
        <is>
          <t>Platform</t>
        </is>
      </c>
      <c r="C9" s="6" t="inlineStr">
        <is>
          <t>Platform baseline: auth, tenancy, API keys, RBAC, audit, quotas, CI/CD, infra</t>
        </is>
      </c>
    </row>
    <row r="10">
      <c r="B10" s="4" t="inlineStr">
        <is>
          <t>Product</t>
        </is>
      </c>
      <c r="C10" s="6" t="inlineStr">
        <is>
          <t>Meterbook product: Usage-based billing and double-entry ledger for SaaS companies</t>
        </is>
      </c>
    </row>
    <row r="15">
      <c r="B15" s="3" t="inlineStr">
        <is>
          <t>HOW TO USE</t>
        </is>
      </c>
    </row>
    <row r="16">
      <c r="B16" s="4" t="inlineStr">
        <is>
          <t>1. Plan</t>
        </is>
      </c>
      <c r="C16" s="2" t="inlineStr">
        <is>
          <t>Work top-down by Week. Set Status (dropdown) and % Complete as you go. Done forces 100%. Paste the PR / commit link in Evidence.</t>
        </is>
      </c>
    </row>
    <row r="17">
      <c r="B17" s="4" t="inlineStr">
        <is>
          <t>2. Test_Catalog</t>
        </is>
      </c>
      <c r="C17" s="2" t="inlineStr">
        <is>
          <t>Reference of 40+ test types (black/white/grey box), what each proves, when it runs in CI, tools per language and the pass gate.</t>
        </is>
      </c>
    </row>
    <row r="18">
      <c r="B18" s="4" t="inlineStr">
        <is>
          <t>3. Test_Cases</t>
        </is>
      </c>
      <c r="C18" s="2" t="inlineStr">
        <is>
          <t>Concrete test cases per project. After each run set Status, Last Run date, Actual Result and an Evidence link (CI run, report).</t>
        </is>
      </c>
    </row>
    <row r="19">
      <c r="B19" s="4" t="inlineStr">
        <is>
          <t>4. Metrics_SLOs</t>
        </is>
      </c>
      <c r="C19" s="2" t="inlineStr">
        <is>
          <t>Targets are pre-filled. Type the measured value; Result computes PASS/FAIL against the target automatically.</t>
        </is>
      </c>
    </row>
    <row r="20">
      <c r="B20" s="4" t="inlineStr">
        <is>
          <t>5. Load_Stress_Runs</t>
        </is>
      </c>
      <c r="C20" s="2" t="inlineStr">
        <is>
          <t>Planned load / stress / spike / soak / scalability / volume runs. Enter results from k6/Gatling/Locust; Result checks throughput, p99 and error rate against the SLO columns.</t>
        </is>
      </c>
    </row>
    <row r="21">
      <c r="B21" s="4" t="inlineStr">
        <is>
          <t>6. Chaos_Resilience</t>
        </is>
      </c>
      <c r="C21" s="2" t="inlineStr">
        <is>
          <t>Fault-injection experiments. Enter observed behaviour, recovery time and data loss; Result checks against the RTO target.</t>
        </is>
      </c>
    </row>
    <row r="22">
      <c r="B22" s="4" t="inlineStr">
        <is>
          <t>7. Coverage</t>
        </is>
      </c>
      <c r="C22" s="2" t="inlineStr">
        <is>
          <t>Line / branch / mutation scores per module, checked against targets.</t>
        </is>
      </c>
    </row>
    <row r="23">
      <c r="B23" s="4" t="inlineStr">
        <is>
          <t>8. Defects</t>
        </is>
      </c>
      <c r="C23" s="2" t="inlineStr">
        <is>
          <t>Every bug found by a test: severity, test ID, root cause, fix PR, and whether a regression test was added.</t>
        </is>
      </c>
    </row>
    <row r="24">
      <c r="B24" s="4" t="inlineStr">
        <is>
          <t>9. Weekly_Log</t>
        </is>
      </c>
      <c r="C24" s="2" t="inlineStr">
        <is>
          <t>One row per week: planned vs done (auto), hours, blockers, learnings, demo link.</t>
        </is>
      </c>
    </row>
    <row r="25">
      <c r="B25" s="4" t="inlineStr">
        <is>
          <t>10. Dashboard</t>
        </is>
      </c>
      <c r="C25" s="2" t="inlineStr">
        <is>
          <t>Auto-calculated progress, test pass rates, SLO status and a Release Gate per track. Show this sheet to recruiters.</t>
        </is>
      </c>
    </row>
    <row r="27">
      <c r="B27" s="3" t="inlineStr">
        <is>
          <t>LEGEND</t>
        </is>
      </c>
    </row>
    <row r="28">
      <c r="B28" s="7" t="inlineStr">
        <is>
          <t>Blue text, yellow fill</t>
        </is>
      </c>
      <c r="C28" s="6" t="inlineStr">
        <is>
          <t>Input cell — you edit these.</t>
        </is>
      </c>
    </row>
    <row r="29">
      <c r="B29" s="6" t="inlineStr">
        <is>
          <t>Black text</t>
        </is>
      </c>
      <c r="C29" s="6" t="inlineStr">
        <is>
          <t>Formula or pre-filled plan content — leave formulas alone.</t>
        </is>
      </c>
    </row>
    <row r="30">
      <c r="B30" s="8" t="inlineStr">
        <is>
          <t>Grey italic row</t>
        </is>
      </c>
      <c r="C30" s="6" t="inlineStr">
        <is>
          <t>EXAMPLE row showing the expected format. Excluded from every Dashboard total. Delete or keep.</t>
        </is>
      </c>
    </row>
    <row r="31">
      <c r="B31" s="9" t="inlineStr">
        <is>
          <t>Green / Red / Grey</t>
        </is>
      </c>
      <c r="C31" s="6" t="inlineStr">
        <is>
          <t>PASS / FAIL / NOT RUN or PENDING result highlighting.</t>
        </is>
      </c>
    </row>
    <row r="33">
      <c r="B33" s="3" t="inlineStr">
        <is>
          <t>CONVENTIONS</t>
        </is>
      </c>
    </row>
    <row r="34">
      <c r="B34" s="4" t="inlineStr">
        <is>
          <t>Percentages</t>
        </is>
      </c>
      <c r="C34" s="2" t="inlineStr">
        <is>
          <t>Enter as fractions or with %: 0.85 or 85% (not 85).</t>
        </is>
      </c>
    </row>
    <row r="35">
      <c r="B35" s="4" t="inlineStr">
        <is>
          <t>Latency</t>
        </is>
      </c>
      <c r="C35" s="2" t="inlineStr">
        <is>
          <t>Milliseconds unless the Unit column says otherwise.</t>
        </is>
      </c>
    </row>
    <row r="36">
      <c r="B36" s="4" t="inlineStr">
        <is>
          <t>Error rate</t>
        </is>
      </c>
      <c r="C36" s="2" t="inlineStr">
        <is>
          <t>Fraction of requests: 0.1% = 0.001.</t>
        </is>
      </c>
    </row>
    <row r="37">
      <c r="B37" s="4" t="inlineStr">
        <is>
          <t>Evidence</t>
        </is>
      </c>
      <c r="C37" s="2" t="inlineStr">
        <is>
          <t>Every PASS should link to proof: CI run, Grafana snapshot, k6 HTML report, Chaos Mesh log. That link is what convinces a reviewer.</t>
        </is>
      </c>
    </row>
    <row r="38">
      <c r="B38" s="4" t="inlineStr">
        <is>
          <t>Targets</t>
        </is>
      </c>
      <c r="C38" s="2" t="inlineStr">
        <is>
          <t>Targets are engineering goals chosen for these designs, not published industry standards. Tighten them once you have a baseline.</t>
        </is>
      </c>
    </row>
  </sheetData>
  <mergeCells count="1">
    <mergeCell ref="B3:C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9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Meterbook Dashboard</t>
        </is>
      </c>
    </row>
    <row r="2">
      <c r="A2" s="10" t="inlineStr">
        <is>
          <t>All figures calculate from the other sheets. EXAMPLE rows are excluded.</t>
        </is>
      </c>
    </row>
    <row r="4">
      <c r="A4" s="11" t="inlineStr">
        <is>
          <t>Measure</t>
        </is>
      </c>
      <c r="B4" s="11" t="inlineStr">
        <is>
          <t>Platform</t>
        </is>
      </c>
      <c r="C4" s="11" t="inlineStr">
        <is>
          <t>Product</t>
        </is>
      </c>
      <c r="D4" s="11" t="inlineStr">
        <is>
          <t>TOTAL</t>
        </is>
      </c>
    </row>
    <row r="5" ht="40" customHeight="1">
      <c r="A5" s="12" t="inlineStr">
        <is>
          <t>Project</t>
        </is>
      </c>
      <c r="B5" s="13" t="inlineStr">
        <is>
          <t>Platform baseline: auth, tenancy, API keys, RBAC, audit, quotas, CI/CD, infra</t>
        </is>
      </c>
      <c r="C5" s="13" t="inlineStr">
        <is>
          <t>Meterbook product: Usage-based billing and double-entry ledger for SaaS companies</t>
        </is>
      </c>
    </row>
    <row r="6">
      <c r="A6" s="14" t="inlineStr">
        <is>
          <t>DELIVERY PROGRESS</t>
        </is>
      </c>
      <c r="B6" s="14" t="n"/>
      <c r="C6" s="14" t="n"/>
      <c r="D6" s="14" t="n"/>
    </row>
    <row r="7">
      <c r="A7" s="15" t="inlineStr">
        <is>
          <t>Tasks</t>
        </is>
      </c>
      <c r="B7" s="16">
        <f>COUNTIF(Plan!$B$2:$B$600,B$4)</f>
        <v/>
      </c>
      <c r="C7" s="16">
        <f>COUNTIF(Plan!$B$2:$B$600,C$4)</f>
        <v/>
      </c>
      <c r="D7" s="17">
        <f>SUM(B7:C7)</f>
        <v/>
      </c>
    </row>
    <row r="8">
      <c r="A8" s="15" t="inlineStr">
        <is>
          <t>Done</t>
        </is>
      </c>
      <c r="B8" s="16">
        <f>COUNTIFS(Plan!$B$2:$B$600,B$4,Plan!$K$2:$K$600,"Done")</f>
        <v/>
      </c>
      <c r="C8" s="16">
        <f>COUNTIFS(Plan!$B$2:$B$600,C$4,Plan!$K$2:$K$600,"Done")</f>
        <v/>
      </c>
      <c r="D8" s="17">
        <f>SUM(B8:C8)</f>
        <v/>
      </c>
    </row>
    <row r="9">
      <c r="A9" s="15" t="inlineStr">
        <is>
          <t>In Progress</t>
        </is>
      </c>
      <c r="B9" s="16">
        <f>COUNTIFS(Plan!$B$2:$B$600,B$4,Plan!$K$2:$K$600,"In Progress")</f>
        <v/>
      </c>
      <c r="C9" s="16">
        <f>COUNTIFS(Plan!$B$2:$B$600,C$4,Plan!$K$2:$K$600,"In Progress")</f>
        <v/>
      </c>
      <c r="D9" s="17">
        <f>SUM(B9:C9)</f>
        <v/>
      </c>
    </row>
    <row r="10">
      <c r="A10" s="15" t="inlineStr">
        <is>
          <t>Blocked</t>
        </is>
      </c>
      <c r="B10" s="16">
        <f>COUNTIFS(Plan!$B$2:$B$600,B$4,Plan!$K$2:$K$600,"Blocked")</f>
        <v/>
      </c>
      <c r="C10" s="16">
        <f>COUNTIFS(Plan!$B$2:$B$600,C$4,Plan!$K$2:$K$600,"Blocked")</f>
        <v/>
      </c>
      <c r="D10" s="17">
        <f>SUM(B10:C10)</f>
        <v/>
      </c>
    </row>
    <row r="11">
      <c r="A11" s="15" t="inlineStr">
        <is>
          <t>Overdue</t>
        </is>
      </c>
      <c r="B11" s="16">
        <f>COUNTIFS(Plan!$B$2:$B$600,B$4,Plan!$P$2:$P$600,"OVERDUE")</f>
        <v/>
      </c>
      <c r="C11" s="16">
        <f>COUNTIFS(Plan!$B$2:$B$600,C$4,Plan!$P$2:$P$600,"OVERDUE")</f>
        <v/>
      </c>
      <c r="D11" s="17">
        <f>SUM(B11:C11)</f>
        <v/>
      </c>
    </row>
    <row r="12">
      <c r="A12" s="15" t="inlineStr">
        <is>
          <t>Est. Hours</t>
        </is>
      </c>
      <c r="B12" s="18">
        <f>SUMIF(Plan!$B$2:$B$600,B$4,Plan!$G$2:$G$600)</f>
        <v/>
      </c>
      <c r="C12" s="18">
        <f>SUMIF(Plan!$B$2:$B$600,C$4,Plan!$G$2:$G$600)</f>
        <v/>
      </c>
      <c r="D12" s="19">
        <f>SUM(B12:C12)</f>
        <v/>
      </c>
    </row>
    <row r="13">
      <c r="A13" s="15" t="inlineStr">
        <is>
          <t>Hours Earned</t>
        </is>
      </c>
      <c r="B13" s="18">
        <f>SUMPRODUCT((Plan!$B$2:$B$600=B$4)*Plan!$G$2:$G$600*Plan!$M$2:$M$600)</f>
        <v/>
      </c>
      <c r="C13" s="18">
        <f>SUMPRODUCT((Plan!$B$2:$B$600=C$4)*Plan!$G$2:$G$600*Plan!$M$2:$M$600)</f>
        <v/>
      </c>
      <c r="D13" s="19">
        <f>SUM(B13:C13)</f>
        <v/>
      </c>
    </row>
    <row r="14">
      <c r="A14" s="15" t="inlineStr">
        <is>
          <t>% Complete (hours-weighted)</t>
        </is>
      </c>
      <c r="B14" s="20">
        <f>IFERROR(B13/B12,0)</f>
        <v/>
      </c>
      <c r="C14" s="20">
        <f>IFERROR(C13/C12,0)</f>
        <v/>
      </c>
      <c r="D14" s="20">
        <f>IFERROR(D13/D12,0)</f>
        <v/>
      </c>
    </row>
    <row r="16">
      <c r="A16" s="14" t="inlineStr">
        <is>
          <t>TESTING</t>
        </is>
      </c>
      <c r="B16" s="14" t="n"/>
      <c r="C16" s="14" t="n"/>
      <c r="D16" s="14" t="n"/>
    </row>
    <row r="17">
      <c r="A17" s="15" t="inlineStr">
        <is>
          <t>Test Cases</t>
        </is>
      </c>
      <c r="B17" s="16">
        <f>COUNTIF(Test_Cases!$B$2:$B$600,B$4)</f>
        <v/>
      </c>
      <c r="C17" s="16">
        <f>COUNTIF(Test_Cases!$B$2:$B$600,C$4)</f>
        <v/>
      </c>
      <c r="D17" s="17">
        <f>SUM(B17:C17)</f>
        <v/>
      </c>
    </row>
    <row r="18">
      <c r="A18" s="15" t="inlineStr">
        <is>
          <t>Passed</t>
        </is>
      </c>
      <c r="B18" s="16">
        <f>COUNTIFS(Test_Cases!$B$2:$B$600,B$4,Test_Cases!$K$2:$K$600,"Pass")</f>
        <v/>
      </c>
      <c r="C18" s="16">
        <f>COUNTIFS(Test_Cases!$B$2:$B$600,C$4,Test_Cases!$K$2:$K$600,"Pass")</f>
        <v/>
      </c>
      <c r="D18" s="17">
        <f>SUM(B18:C18)</f>
        <v/>
      </c>
    </row>
    <row r="19">
      <c r="A19" s="15" t="inlineStr">
        <is>
          <t>Failed</t>
        </is>
      </c>
      <c r="B19" s="16">
        <f>COUNTIFS(Test_Cases!$B$2:$B$600,B$4,Test_Cases!$K$2:$K$600,"Fail")</f>
        <v/>
      </c>
      <c r="C19" s="16">
        <f>COUNTIFS(Test_Cases!$B$2:$B$600,C$4,Test_Cases!$K$2:$K$600,"Fail")</f>
        <v/>
      </c>
      <c r="D19" s="17">
        <f>SUM(B19:C19)</f>
        <v/>
      </c>
    </row>
    <row r="20">
      <c r="A20" s="15" t="inlineStr">
        <is>
          <t>Blocked</t>
        </is>
      </c>
      <c r="B20" s="16">
        <f>COUNTIFS(Test_Cases!$B$2:$B$600,B$4,Test_Cases!$K$2:$K$600,"Blocked")</f>
        <v/>
      </c>
      <c r="C20" s="16">
        <f>COUNTIFS(Test_Cases!$B$2:$B$600,C$4,Test_Cases!$K$2:$K$600,"Blocked")</f>
        <v/>
      </c>
      <c r="D20" s="17">
        <f>SUM(B20:C20)</f>
        <v/>
      </c>
    </row>
    <row r="21">
      <c r="A21" s="15" t="inlineStr">
        <is>
          <t>Not Run</t>
        </is>
      </c>
      <c r="B21" s="16">
        <f>COUNTIFS(Test_Cases!$B$2:$B$600,B$4,Test_Cases!$K$2:$K$600,"Not Run")</f>
        <v/>
      </c>
      <c r="C21" s="16">
        <f>COUNTIFS(Test_Cases!$B$2:$B$600,C$4,Test_Cases!$K$2:$K$600,"Not Run")</f>
        <v/>
      </c>
      <c r="D21" s="17">
        <f>SUM(B21:C21)</f>
        <v/>
      </c>
    </row>
    <row r="22">
      <c r="A22" s="15" t="inlineStr">
        <is>
          <t>Execution %</t>
        </is>
      </c>
      <c r="B22" s="20">
        <f>IFERROR((B17-B21)/B17,0)</f>
        <v/>
      </c>
      <c r="C22" s="20">
        <f>IFERROR((C17-C21)/C17,0)</f>
        <v/>
      </c>
      <c r="D22" s="20">
        <f>IFERROR((D17-D21)/D17,0)</f>
        <v/>
      </c>
    </row>
    <row r="23">
      <c r="A23" s="15" t="inlineStr">
        <is>
          <t>Pass Rate (of executed)</t>
        </is>
      </c>
      <c r="B23" s="20">
        <f>IFERROR(B18/(B18+B19),0)</f>
        <v/>
      </c>
      <c r="C23" s="20">
        <f>IFERROR(C18/(C18+C19),0)</f>
        <v/>
      </c>
      <c r="D23" s="20">
        <f>IFERROR(D18/(D18+D19),0)</f>
        <v/>
      </c>
    </row>
    <row r="24">
      <c r="A24" s="15" t="inlineStr">
        <is>
          <t>Automation %</t>
        </is>
      </c>
      <c r="B24" s="20">
        <f>IFERROR(COUNTIFS(Test_Cases!$B$2:$B$600,B$4,Test_Cases!$J$2:$J$600,"Y")/COUNTIF(Test_Cases!$B$2:$B$600,B$4),0)</f>
        <v/>
      </c>
      <c r="C24" s="20">
        <f>IFERROR(COUNTIFS(Test_Cases!$B$2:$B$600,C$4,Test_Cases!$J$2:$J$600,"Y")/COUNTIF(Test_Cases!$B$2:$B$600,C$4),0)</f>
        <v/>
      </c>
      <c r="D24" s="20">
        <f>IFERROR((COUNTIF(Test_Cases!$J$2:$J$600,"Y")-COUNTIFS(Test_Cases!$B$2:$B$600,"EXAMPLE",Test_Cases!$J$2:$J$600,"Y"))/D17,0)</f>
        <v/>
      </c>
    </row>
    <row r="26">
      <c r="A26" s="14" t="inlineStr">
        <is>
          <t>SLOs &amp; RELIABILITY</t>
        </is>
      </c>
      <c r="B26" s="14" t="n"/>
      <c r="C26" s="14" t="n"/>
      <c r="D26" s="14" t="n"/>
    </row>
    <row r="27">
      <c r="A27" s="15" t="inlineStr">
        <is>
          <t>Metrics</t>
        </is>
      </c>
      <c r="B27" s="16">
        <f>COUNTIF(Metrics_SLOs!$B$2:$B$600,B$4)</f>
        <v/>
      </c>
      <c r="C27" s="16">
        <f>COUNTIF(Metrics_SLOs!$B$2:$B$600,C$4)</f>
        <v/>
      </c>
      <c r="D27" s="17">
        <f>SUM(B27:C27)</f>
        <v/>
      </c>
    </row>
    <row r="28">
      <c r="A28" s="15" t="inlineStr">
        <is>
          <t>Metrics PASS</t>
        </is>
      </c>
      <c r="B28" s="16">
        <f>COUNTIFS(Metrics_SLOs!$B$2:$B$600,B$4,Metrics_SLOs!$I$2:$I$600,"PASS")</f>
        <v/>
      </c>
      <c r="C28" s="16">
        <f>COUNTIFS(Metrics_SLOs!$B$2:$B$600,C$4,Metrics_SLOs!$I$2:$I$600,"PASS")</f>
        <v/>
      </c>
      <c r="D28" s="17">
        <f>SUM(B28:C28)</f>
        <v/>
      </c>
    </row>
    <row r="29">
      <c r="A29" s="15" t="inlineStr">
        <is>
          <t>Metrics FAIL</t>
        </is>
      </c>
      <c r="B29" s="16">
        <f>COUNTIFS(Metrics_SLOs!$B$2:$B$600,B$4,Metrics_SLOs!$I$2:$I$600,"FAIL")</f>
        <v/>
      </c>
      <c r="C29" s="16">
        <f>COUNTIFS(Metrics_SLOs!$B$2:$B$600,C$4,Metrics_SLOs!$I$2:$I$600,"FAIL")</f>
        <v/>
      </c>
      <c r="D29" s="17">
        <f>SUM(B29:C29)</f>
        <v/>
      </c>
    </row>
    <row r="30">
      <c r="A30" s="15" t="inlineStr">
        <is>
          <t>Metrics Pending</t>
        </is>
      </c>
      <c r="B30" s="16">
        <f>COUNTIFS(Metrics_SLOs!$B$2:$B$600,B$4,Metrics_SLOs!$I$2:$I$600,"PENDING")</f>
        <v/>
      </c>
      <c r="C30" s="16">
        <f>COUNTIFS(Metrics_SLOs!$B$2:$B$600,C$4,Metrics_SLOs!$I$2:$I$600,"PENDING")</f>
        <v/>
      </c>
      <c r="D30" s="17">
        <f>SUM(B30:C30)</f>
        <v/>
      </c>
    </row>
    <row r="31">
      <c r="A31" s="15" t="inlineStr">
        <is>
          <t>Load Runs</t>
        </is>
      </c>
      <c r="B31" s="16">
        <f>COUNTIF(Load_Stress_Runs!$B$2:$B$600,B$4)</f>
        <v/>
      </c>
      <c r="C31" s="16">
        <f>COUNTIF(Load_Stress_Runs!$B$2:$B$600,C$4)</f>
        <v/>
      </c>
      <c r="D31" s="17">
        <f>SUM(B31:C31)</f>
        <v/>
      </c>
    </row>
    <row r="32">
      <c r="A32" s="15" t="inlineStr">
        <is>
          <t>Load Runs PASS</t>
        </is>
      </c>
      <c r="B32" s="16">
        <f>COUNTIFS(Load_Stress_Runs!$B$2:$B$600,B$4,Load_Stress_Runs!$T$2:$T$600,"PASS")</f>
        <v/>
      </c>
      <c r="C32" s="16">
        <f>COUNTIFS(Load_Stress_Runs!$B$2:$B$600,C$4,Load_Stress_Runs!$T$2:$T$600,"PASS")</f>
        <v/>
      </c>
      <c r="D32" s="17">
        <f>SUM(B32:C32)</f>
        <v/>
      </c>
    </row>
    <row r="33">
      <c r="A33" s="15" t="inlineStr">
        <is>
          <t>Chaos Experiments</t>
        </is>
      </c>
      <c r="B33" s="16">
        <f>COUNTIF(Chaos_Resilience!$B$2:$B$600,B$4)</f>
        <v/>
      </c>
      <c r="C33" s="16">
        <f>COUNTIF(Chaos_Resilience!$B$2:$B$600,C$4)</f>
        <v/>
      </c>
      <c r="D33" s="17">
        <f>SUM(B33:C33)</f>
        <v/>
      </c>
    </row>
    <row r="34">
      <c r="A34" s="15" t="inlineStr">
        <is>
          <t>Chaos PASS</t>
        </is>
      </c>
      <c r="B34" s="16">
        <f>COUNTIFS(Chaos_Resilience!$B$2:$B$600,B$4,Chaos_Resilience!$M$2:$M$600,"PASS")</f>
        <v/>
      </c>
      <c r="C34" s="16">
        <f>COUNTIFS(Chaos_Resilience!$B$2:$B$600,C$4,Chaos_Resilience!$M$2:$M$600,"PASS")</f>
        <v/>
      </c>
      <c r="D34" s="17">
        <f>SUM(B34:C34)</f>
        <v/>
      </c>
    </row>
    <row r="35">
      <c r="A35" s="15" t="inlineStr">
        <is>
          <t>Coverage Modules PASS</t>
        </is>
      </c>
      <c r="B35" s="21">
        <f>COUNTIFS(Coverage!$A$2:$A$600,B$4,Coverage!$K$2:$K$600,"PASS")&amp;" / "&amp;COUNTIF(Coverage!$A$2:$A$600,B$4)</f>
        <v/>
      </c>
      <c r="C35" s="21">
        <f>COUNTIFS(Coverage!$A$2:$A$600,C$4,Coverage!$K$2:$K$600,"PASS")&amp;" / "&amp;COUNTIF(Coverage!$A$2:$A$600,C$4)</f>
        <v/>
      </c>
      <c r="D35" s="21">
        <f>(COUNTIF(Coverage!$K$2:$K$600,"PASS")-COUNTIFS(Coverage!$A$2:$A$600,"EXAMPLE",Coverage!$K$2:$K$600,"PASS"))&amp;" / "&amp;(COUNTA(Coverage!$A$2:$A$600)-COUNTIF(Coverage!$A$2:$A$600,"EXAMPLE"))</f>
        <v/>
      </c>
    </row>
    <row r="37">
      <c r="A37" s="14" t="inlineStr">
        <is>
          <t>QUALITY</t>
        </is>
      </c>
      <c r="B37" s="14" t="n"/>
      <c r="C37" s="14" t="n"/>
      <c r="D37" s="14" t="n"/>
    </row>
    <row r="38">
      <c r="A38" s="15" t="inlineStr">
        <is>
          <t>Open Defects</t>
        </is>
      </c>
      <c r="B38" s="16">
        <f>COUNTIFS(Defects!$B$2:$B$600,B$4,Defects!$F$2:$F$600,"Open")+COUNTIFS(Defects!$B$2:$B$600,B$4,Defects!$F$2:$F$600,"In Progress")</f>
        <v/>
      </c>
      <c r="C38" s="16">
        <f>COUNTIFS(Defects!$B$2:$B$600,C$4,Defects!$F$2:$F$600,"Open")+COUNTIFS(Defects!$B$2:$B$600,C$4,Defects!$F$2:$F$600,"In Progress")</f>
        <v/>
      </c>
      <c r="D38" s="17">
        <f>SUM(B38:C38)</f>
        <v/>
      </c>
    </row>
    <row r="39">
      <c r="A39" s="15" t="inlineStr">
        <is>
          <t>Open S1/S2 Defects</t>
        </is>
      </c>
      <c r="B39" s="16">
        <f>COUNTIFS(Defects!$B$2:$B$600,B$4,Defects!$F$2:$F$600,"Open",Defects!$D$2:$D$600,"S1-Critical")+COUNTIFS(Defects!$B$2:$B$600,B$4,Defects!$F$2:$F$600,"In Progress",Defects!$D$2:$D$600,"S1-Critical")+COUNTIFS(Defects!$B$2:$B$600,B$4,Defects!$F$2:$F$600,"Open",Defects!$D$2:$D$600,"S2-High")+COUNTIFS(Defects!$B$2:$B$600,B$4,Defects!$F$2:$F$600,"In Progress",Defects!$D$2:$D$600,"S2-High")</f>
        <v/>
      </c>
      <c r="C39" s="16">
        <f>COUNTIFS(Defects!$B$2:$B$600,C$4,Defects!$F$2:$F$600,"Open",Defects!$D$2:$D$600,"S1-Critical")+COUNTIFS(Defects!$B$2:$B$600,C$4,Defects!$F$2:$F$600,"In Progress",Defects!$D$2:$D$600,"S1-Critical")+COUNTIFS(Defects!$B$2:$B$600,C$4,Defects!$F$2:$F$600,"Open",Defects!$D$2:$D$600,"S2-High")+COUNTIFS(Defects!$B$2:$B$600,C$4,Defects!$F$2:$F$600,"In Progress",Defects!$D$2:$D$600,"S2-High")</f>
        <v/>
      </c>
      <c r="D39" s="17">
        <f>SUM(B39:C39)</f>
        <v/>
      </c>
    </row>
    <row r="40">
      <c r="A40" s="15" t="inlineStr">
        <is>
          <t>RELEASE GATE</t>
        </is>
      </c>
      <c r="B40" s="22">
        <f>IF(AND(B14&gt;=1,B19=0,B21=0,B20=0,B29=0,B30=0,B32=B31,B34=B33,B39=0),"READY TO SHIP","NOT READY")</f>
        <v/>
      </c>
      <c r="C40" s="22">
        <f>IF(AND(C14&gt;=1,C19=0,C21=0,C20=0,C29=0,C30=0,C32=C31,C34=C33,C39=0),"READY TO SHIP","NOT READY")</f>
        <v/>
      </c>
      <c r="D40" s="22">
        <f>IF(COUNTIF(B40:C40,"READY TO SHIP")=2,"ALL READY",COUNTIF(B40:C40,"READY TO SHIP")&amp;" of 2 ready")</f>
        <v/>
      </c>
    </row>
    <row r="42" ht="30" customHeight="1">
      <c r="A42" s="23" t="inlineStr">
        <is>
          <t>Release Gate = READY TO SHIP only when: all tasks done, every test case run with 0 failures/blocked, every metric measured and passing, every load run and chaos experiment passing, and 0 open S1/S2 defects.</t>
        </is>
      </c>
    </row>
    <row r="44">
      <c r="A44" s="3" t="inlineStr">
        <is>
          <t>TEST TYPE COVERAGE (cases per type, both tracks)</t>
        </is>
      </c>
    </row>
    <row r="45">
      <c r="A45" s="24" t="inlineStr">
        <is>
          <t>Test Type</t>
        </is>
      </c>
      <c r="B45" s="24" t="inlineStr">
        <is>
          <t>Box</t>
        </is>
      </c>
      <c r="C45" s="24" t="inlineStr">
        <is>
          <t>Cases</t>
        </is>
      </c>
      <c r="D45" s="24" t="inlineStr">
        <is>
          <t>Passed</t>
        </is>
      </c>
      <c r="E45" s="24" t="inlineStr">
        <is>
          <t>Failed</t>
        </is>
      </c>
      <c r="F45" s="24" t="inlineStr">
        <is>
          <t>Not Run</t>
        </is>
      </c>
    </row>
    <row r="46">
      <c r="A46" s="15" t="inlineStr">
        <is>
          <t>Unit</t>
        </is>
      </c>
      <c r="B46" s="25">
        <f>INDEX(Test_Catalog!$C$2:$C$48,MATCH(A46,Test_Catalog!$A$2:$A$48,0))</f>
        <v/>
      </c>
      <c r="C46" s="25">
        <f>COUNTIF(Test_Cases!$C$2:$C$600,A46)-COUNTIFS(Test_Cases!$C$2:$C$600,A46,Test_Cases!$B$2:$B$600,"EXAMPLE")</f>
        <v/>
      </c>
      <c r="D46" s="25">
        <f>COUNTIFS(Test_Cases!$C$2:$C$600,A46,Test_Cases!$K$2:$K$600,"Pass")-COUNTIFS(Test_Cases!$C$2:$C$600,A46,Test_Cases!$K$2:$K$600,"Pass",Test_Cases!$B$2:$B$600,"EXAMPLE")</f>
        <v/>
      </c>
      <c r="E46" s="25">
        <f>COUNTIFS(Test_Cases!$C$2:$C$600,A46,Test_Cases!$K$2:$K$600,"Fail")-COUNTIFS(Test_Cases!$C$2:$C$600,A46,Test_Cases!$K$2:$K$600,"Fail",Test_Cases!$B$2:$B$600,"EXAMPLE")</f>
        <v/>
      </c>
      <c r="F46" s="25">
        <f>COUNTIFS(Test_Cases!$C$2:$C$600,A46,Test_Cases!$K$2:$K$600,"Not Run")-COUNTIFS(Test_Cases!$C$2:$C$600,A46,Test_Cases!$K$2:$K$600,"Not Run",Test_Cases!$B$2:$B$600,"EXAMPLE")</f>
        <v/>
      </c>
    </row>
    <row r="47">
      <c r="A47" s="15" t="inlineStr">
        <is>
          <t>Integration</t>
        </is>
      </c>
      <c r="B47" s="25">
        <f>INDEX(Test_Catalog!$C$2:$C$48,MATCH(A47,Test_Catalog!$A$2:$A$48,0))</f>
        <v/>
      </c>
      <c r="C47" s="25">
        <f>COUNTIF(Test_Cases!$C$2:$C$600,A47)-COUNTIFS(Test_Cases!$C$2:$C$600,A47,Test_Cases!$B$2:$B$600,"EXAMPLE")</f>
        <v/>
      </c>
      <c r="D47" s="25">
        <f>COUNTIFS(Test_Cases!$C$2:$C$600,A47,Test_Cases!$K$2:$K$600,"Pass")-COUNTIFS(Test_Cases!$C$2:$C$600,A47,Test_Cases!$K$2:$K$600,"Pass",Test_Cases!$B$2:$B$600,"EXAMPLE")</f>
        <v/>
      </c>
      <c r="E47" s="25">
        <f>COUNTIFS(Test_Cases!$C$2:$C$600,A47,Test_Cases!$K$2:$K$600,"Fail")-COUNTIFS(Test_Cases!$C$2:$C$600,A47,Test_Cases!$K$2:$K$600,"Fail",Test_Cases!$B$2:$B$600,"EXAMPLE")</f>
        <v/>
      </c>
      <c r="F47" s="25">
        <f>COUNTIFS(Test_Cases!$C$2:$C$600,A47,Test_Cases!$K$2:$K$600,"Not Run")-COUNTIFS(Test_Cases!$C$2:$C$600,A47,Test_Cases!$K$2:$K$600,"Not Run",Test_Cases!$B$2:$B$600,"EXAMPLE")</f>
        <v/>
      </c>
    </row>
    <row r="48">
      <c r="A48" s="15" t="inlineStr">
        <is>
          <t>Component / Service</t>
        </is>
      </c>
      <c r="B48" s="25">
        <f>INDEX(Test_Catalog!$C$2:$C$48,MATCH(A48,Test_Catalog!$A$2:$A$48,0))</f>
        <v/>
      </c>
      <c r="C48" s="25">
        <f>COUNTIF(Test_Cases!$C$2:$C$600,A48)-COUNTIFS(Test_Cases!$C$2:$C$600,A48,Test_Cases!$B$2:$B$600,"EXAMPLE")</f>
        <v/>
      </c>
      <c r="D48" s="25">
        <f>COUNTIFS(Test_Cases!$C$2:$C$600,A48,Test_Cases!$K$2:$K$600,"Pass")-COUNTIFS(Test_Cases!$C$2:$C$600,A48,Test_Cases!$K$2:$K$600,"Pass",Test_Cases!$B$2:$B$600,"EXAMPLE")</f>
        <v/>
      </c>
      <c r="E48" s="25">
        <f>COUNTIFS(Test_Cases!$C$2:$C$600,A48,Test_Cases!$K$2:$K$600,"Fail")-COUNTIFS(Test_Cases!$C$2:$C$600,A48,Test_Cases!$K$2:$K$600,"Fail",Test_Cases!$B$2:$B$600,"EXAMPLE")</f>
        <v/>
      </c>
      <c r="F48" s="25">
        <f>COUNTIFS(Test_Cases!$C$2:$C$600,A48,Test_Cases!$K$2:$K$600,"Not Run")-COUNTIFS(Test_Cases!$C$2:$C$600,A48,Test_Cases!$K$2:$K$600,"Not Run",Test_Cases!$B$2:$B$600,"EXAMPLE")</f>
        <v/>
      </c>
    </row>
    <row r="49">
      <c r="A49" s="15" t="inlineStr">
        <is>
          <t>Contract (consumer-driven)</t>
        </is>
      </c>
      <c r="B49" s="25">
        <f>INDEX(Test_Catalog!$C$2:$C$48,MATCH(A49,Test_Catalog!$A$2:$A$48,0))</f>
        <v/>
      </c>
      <c r="C49" s="25">
        <f>COUNTIF(Test_Cases!$C$2:$C$600,A49)-COUNTIFS(Test_Cases!$C$2:$C$600,A49,Test_Cases!$B$2:$B$600,"EXAMPLE")</f>
        <v/>
      </c>
      <c r="D49" s="25">
        <f>COUNTIFS(Test_Cases!$C$2:$C$600,A49,Test_Cases!$K$2:$K$600,"Pass")-COUNTIFS(Test_Cases!$C$2:$C$600,A49,Test_Cases!$K$2:$K$600,"Pass",Test_Cases!$B$2:$B$600,"EXAMPLE")</f>
        <v/>
      </c>
      <c r="E49" s="25">
        <f>COUNTIFS(Test_Cases!$C$2:$C$600,A49,Test_Cases!$K$2:$K$600,"Fail")-COUNTIFS(Test_Cases!$C$2:$C$600,A49,Test_Cases!$K$2:$K$600,"Fail",Test_Cases!$B$2:$B$600,"EXAMPLE")</f>
        <v/>
      </c>
      <c r="F49" s="25">
        <f>COUNTIFS(Test_Cases!$C$2:$C$600,A49,Test_Cases!$K$2:$K$600,"Not Run")-COUNTIFS(Test_Cases!$C$2:$C$600,A49,Test_Cases!$K$2:$K$600,"Not Run",Test_Cases!$B$2:$B$600,"EXAMPLE")</f>
        <v/>
      </c>
    </row>
    <row r="50">
      <c r="A50" s="15" t="inlineStr">
        <is>
          <t>API (schema-based)</t>
        </is>
      </c>
      <c r="B50" s="25">
        <f>INDEX(Test_Catalog!$C$2:$C$48,MATCH(A50,Test_Catalog!$A$2:$A$48,0))</f>
        <v/>
      </c>
      <c r="C50" s="25">
        <f>COUNTIF(Test_Cases!$C$2:$C$600,A50)-COUNTIFS(Test_Cases!$C$2:$C$600,A50,Test_Cases!$B$2:$B$600,"EXAMPLE")</f>
        <v/>
      </c>
      <c r="D50" s="25">
        <f>COUNTIFS(Test_Cases!$C$2:$C$600,A50,Test_Cases!$K$2:$K$600,"Pass")-COUNTIFS(Test_Cases!$C$2:$C$600,A50,Test_Cases!$K$2:$K$600,"Pass",Test_Cases!$B$2:$B$600,"EXAMPLE")</f>
        <v/>
      </c>
      <c r="E50" s="25">
        <f>COUNTIFS(Test_Cases!$C$2:$C$600,A50,Test_Cases!$K$2:$K$600,"Fail")-COUNTIFS(Test_Cases!$C$2:$C$600,A50,Test_Cases!$K$2:$K$600,"Fail",Test_Cases!$B$2:$B$600,"EXAMPLE")</f>
        <v/>
      </c>
      <c r="F50" s="25">
        <f>COUNTIFS(Test_Cases!$C$2:$C$600,A50,Test_Cases!$K$2:$K$600,"Not Run")-COUNTIFS(Test_Cases!$C$2:$C$600,A50,Test_Cases!$K$2:$K$600,"Not Run",Test_Cases!$B$2:$B$600,"EXAMPLE")</f>
        <v/>
      </c>
    </row>
    <row r="51">
      <c r="A51" s="15" t="inlineStr">
        <is>
          <t>Functional</t>
        </is>
      </c>
      <c r="B51" s="25">
        <f>INDEX(Test_Catalog!$C$2:$C$48,MATCH(A51,Test_Catalog!$A$2:$A$48,0))</f>
        <v/>
      </c>
      <c r="C51" s="25">
        <f>COUNTIF(Test_Cases!$C$2:$C$600,A51)-COUNTIFS(Test_Cases!$C$2:$C$600,A51,Test_Cases!$B$2:$B$600,"EXAMPLE")</f>
        <v/>
      </c>
      <c r="D51" s="25">
        <f>COUNTIFS(Test_Cases!$C$2:$C$600,A51,Test_Cases!$K$2:$K$600,"Pass")-COUNTIFS(Test_Cases!$C$2:$C$600,A51,Test_Cases!$K$2:$K$600,"Pass",Test_Cases!$B$2:$B$600,"EXAMPLE")</f>
        <v/>
      </c>
      <c r="E51" s="25">
        <f>COUNTIFS(Test_Cases!$C$2:$C$600,A51,Test_Cases!$K$2:$K$600,"Fail")-COUNTIFS(Test_Cases!$C$2:$C$600,A51,Test_Cases!$K$2:$K$600,"Fail",Test_Cases!$B$2:$B$600,"EXAMPLE")</f>
        <v/>
      </c>
      <c r="F51" s="25">
        <f>COUNTIFS(Test_Cases!$C$2:$C$600,A51,Test_Cases!$K$2:$K$600,"Not Run")-COUNTIFS(Test_Cases!$C$2:$C$600,A51,Test_Cases!$K$2:$K$600,"Not Run",Test_Cases!$B$2:$B$600,"EXAMPLE")</f>
        <v/>
      </c>
    </row>
    <row r="52">
      <c r="A52" s="15" t="inlineStr">
        <is>
          <t>End-to-End (E2E)</t>
        </is>
      </c>
      <c r="B52" s="25">
        <f>INDEX(Test_Catalog!$C$2:$C$48,MATCH(A52,Test_Catalog!$A$2:$A$48,0))</f>
        <v/>
      </c>
      <c r="C52" s="25">
        <f>COUNTIF(Test_Cases!$C$2:$C$600,A52)-COUNTIFS(Test_Cases!$C$2:$C$600,A52,Test_Cases!$B$2:$B$600,"EXAMPLE")</f>
        <v/>
      </c>
      <c r="D52" s="25">
        <f>COUNTIFS(Test_Cases!$C$2:$C$600,A52,Test_Cases!$K$2:$K$600,"Pass")-COUNTIFS(Test_Cases!$C$2:$C$600,A52,Test_Cases!$K$2:$K$600,"Pass",Test_Cases!$B$2:$B$600,"EXAMPLE")</f>
        <v/>
      </c>
      <c r="E52" s="25">
        <f>COUNTIFS(Test_Cases!$C$2:$C$600,A52,Test_Cases!$K$2:$K$600,"Fail")-COUNTIFS(Test_Cases!$C$2:$C$600,A52,Test_Cases!$K$2:$K$600,"Fail",Test_Cases!$B$2:$B$600,"EXAMPLE")</f>
        <v/>
      </c>
      <c r="F52" s="25">
        <f>COUNTIFS(Test_Cases!$C$2:$C$600,A52,Test_Cases!$K$2:$K$600,"Not Run")-COUNTIFS(Test_Cases!$C$2:$C$600,A52,Test_Cases!$K$2:$K$600,"Not Run",Test_Cases!$B$2:$B$600,"EXAMPLE")</f>
        <v/>
      </c>
    </row>
    <row r="53">
      <c r="A53" s="15" t="inlineStr">
        <is>
          <t>Smoke</t>
        </is>
      </c>
      <c r="B53" s="25">
        <f>INDEX(Test_Catalog!$C$2:$C$48,MATCH(A53,Test_Catalog!$A$2:$A$48,0))</f>
        <v/>
      </c>
      <c r="C53" s="25">
        <f>COUNTIF(Test_Cases!$C$2:$C$600,A53)-COUNTIFS(Test_Cases!$C$2:$C$600,A53,Test_Cases!$B$2:$B$600,"EXAMPLE")</f>
        <v/>
      </c>
      <c r="D53" s="25">
        <f>COUNTIFS(Test_Cases!$C$2:$C$600,A53,Test_Cases!$K$2:$K$600,"Pass")-COUNTIFS(Test_Cases!$C$2:$C$600,A53,Test_Cases!$K$2:$K$600,"Pass",Test_Cases!$B$2:$B$600,"EXAMPLE")</f>
        <v/>
      </c>
      <c r="E53" s="25">
        <f>COUNTIFS(Test_Cases!$C$2:$C$600,A53,Test_Cases!$K$2:$K$600,"Fail")-COUNTIFS(Test_Cases!$C$2:$C$600,A53,Test_Cases!$K$2:$K$600,"Fail",Test_Cases!$B$2:$B$600,"EXAMPLE")</f>
        <v/>
      </c>
      <c r="F53" s="25">
        <f>COUNTIFS(Test_Cases!$C$2:$C$600,A53,Test_Cases!$K$2:$K$600,"Not Run")-COUNTIFS(Test_Cases!$C$2:$C$600,A53,Test_Cases!$K$2:$K$600,"Not Run",Test_Cases!$B$2:$B$600,"EXAMPLE")</f>
        <v/>
      </c>
    </row>
    <row r="54">
      <c r="A54" s="15" t="inlineStr">
        <is>
          <t>Sanity</t>
        </is>
      </c>
      <c r="B54" s="25">
        <f>INDEX(Test_Catalog!$C$2:$C$48,MATCH(A54,Test_Catalog!$A$2:$A$48,0))</f>
        <v/>
      </c>
      <c r="C54" s="25">
        <f>COUNTIF(Test_Cases!$C$2:$C$600,A54)-COUNTIFS(Test_Cases!$C$2:$C$600,A54,Test_Cases!$B$2:$B$600,"EXAMPLE")</f>
        <v/>
      </c>
      <c r="D54" s="25">
        <f>COUNTIFS(Test_Cases!$C$2:$C$600,A54,Test_Cases!$K$2:$K$600,"Pass")-COUNTIFS(Test_Cases!$C$2:$C$600,A54,Test_Cases!$K$2:$K$600,"Pass",Test_Cases!$B$2:$B$600,"EXAMPLE")</f>
        <v/>
      </c>
      <c r="E54" s="25">
        <f>COUNTIFS(Test_Cases!$C$2:$C$600,A54,Test_Cases!$K$2:$K$600,"Fail")-COUNTIFS(Test_Cases!$C$2:$C$600,A54,Test_Cases!$K$2:$K$600,"Fail",Test_Cases!$B$2:$B$600,"EXAMPLE")</f>
        <v/>
      </c>
      <c r="F54" s="25">
        <f>COUNTIFS(Test_Cases!$C$2:$C$600,A54,Test_Cases!$K$2:$K$600,"Not Run")-COUNTIFS(Test_Cases!$C$2:$C$600,A54,Test_Cases!$K$2:$K$600,"Not Run",Test_Cases!$B$2:$B$600,"EXAMPLE")</f>
        <v/>
      </c>
    </row>
    <row r="55">
      <c r="A55" s="15" t="inlineStr">
        <is>
          <t>Regression</t>
        </is>
      </c>
      <c r="B55" s="25">
        <f>INDEX(Test_Catalog!$C$2:$C$48,MATCH(A55,Test_Catalog!$A$2:$A$48,0))</f>
        <v/>
      </c>
      <c r="C55" s="25">
        <f>COUNTIF(Test_Cases!$C$2:$C$600,A55)-COUNTIFS(Test_Cases!$C$2:$C$600,A55,Test_Cases!$B$2:$B$600,"EXAMPLE")</f>
        <v/>
      </c>
      <c r="D55" s="25">
        <f>COUNTIFS(Test_Cases!$C$2:$C$600,A55,Test_Cases!$K$2:$K$600,"Pass")-COUNTIFS(Test_Cases!$C$2:$C$600,A55,Test_Cases!$K$2:$K$600,"Pass",Test_Cases!$B$2:$B$600,"EXAMPLE")</f>
        <v/>
      </c>
      <c r="E55" s="25">
        <f>COUNTIFS(Test_Cases!$C$2:$C$600,A55,Test_Cases!$K$2:$K$600,"Fail")-COUNTIFS(Test_Cases!$C$2:$C$600,A55,Test_Cases!$K$2:$K$600,"Fail",Test_Cases!$B$2:$B$600,"EXAMPLE")</f>
        <v/>
      </c>
      <c r="F55" s="25">
        <f>COUNTIFS(Test_Cases!$C$2:$C$600,A55,Test_Cases!$K$2:$K$600,"Not Run")-COUNTIFS(Test_Cases!$C$2:$C$600,A55,Test_Cases!$K$2:$K$600,"Not Run",Test_Cases!$B$2:$B$600,"EXAMPLE")</f>
        <v/>
      </c>
    </row>
    <row r="56">
      <c r="A56" s="15" t="inlineStr">
        <is>
          <t>User Acceptance (UAT)</t>
        </is>
      </c>
      <c r="B56" s="25">
        <f>INDEX(Test_Catalog!$C$2:$C$48,MATCH(A56,Test_Catalog!$A$2:$A$48,0))</f>
        <v/>
      </c>
      <c r="C56" s="25">
        <f>COUNTIF(Test_Cases!$C$2:$C$600,A56)-COUNTIFS(Test_Cases!$C$2:$C$600,A56,Test_Cases!$B$2:$B$600,"EXAMPLE")</f>
        <v/>
      </c>
      <c r="D56" s="25">
        <f>COUNTIFS(Test_Cases!$C$2:$C$600,A56,Test_Cases!$K$2:$K$600,"Pass")-COUNTIFS(Test_Cases!$C$2:$C$600,A56,Test_Cases!$K$2:$K$600,"Pass",Test_Cases!$B$2:$B$600,"EXAMPLE")</f>
        <v/>
      </c>
      <c r="E56" s="25">
        <f>COUNTIFS(Test_Cases!$C$2:$C$600,A56,Test_Cases!$K$2:$K$600,"Fail")-COUNTIFS(Test_Cases!$C$2:$C$600,A56,Test_Cases!$K$2:$K$600,"Fail",Test_Cases!$B$2:$B$600,"EXAMPLE")</f>
        <v/>
      </c>
      <c r="F56" s="25">
        <f>COUNTIFS(Test_Cases!$C$2:$C$600,A56,Test_Cases!$K$2:$K$600,"Not Run")-COUNTIFS(Test_Cases!$C$2:$C$600,A56,Test_Cases!$K$2:$K$600,"Not Run",Test_Cases!$B$2:$B$600,"EXAMPLE")</f>
        <v/>
      </c>
    </row>
    <row r="57">
      <c r="A57" s="15" t="inlineStr">
        <is>
          <t>Boundary value / Equivalence partitioning</t>
        </is>
      </c>
      <c r="B57" s="25">
        <f>INDEX(Test_Catalog!$C$2:$C$48,MATCH(A57,Test_Catalog!$A$2:$A$48,0))</f>
        <v/>
      </c>
      <c r="C57" s="25">
        <f>COUNTIF(Test_Cases!$C$2:$C$600,A57)-COUNTIFS(Test_Cases!$C$2:$C$600,A57,Test_Cases!$B$2:$B$600,"EXAMPLE")</f>
        <v/>
      </c>
      <c r="D57" s="25">
        <f>COUNTIFS(Test_Cases!$C$2:$C$600,A57,Test_Cases!$K$2:$K$600,"Pass")-COUNTIFS(Test_Cases!$C$2:$C$600,A57,Test_Cases!$K$2:$K$600,"Pass",Test_Cases!$B$2:$B$600,"EXAMPLE")</f>
        <v/>
      </c>
      <c r="E57" s="25">
        <f>COUNTIFS(Test_Cases!$C$2:$C$600,A57,Test_Cases!$K$2:$K$600,"Fail")-COUNTIFS(Test_Cases!$C$2:$C$600,A57,Test_Cases!$K$2:$K$600,"Fail",Test_Cases!$B$2:$B$600,"EXAMPLE")</f>
        <v/>
      </c>
      <c r="F57" s="25">
        <f>COUNTIFS(Test_Cases!$C$2:$C$600,A57,Test_Cases!$K$2:$K$600,"Not Run")-COUNTIFS(Test_Cases!$C$2:$C$600,A57,Test_Cases!$K$2:$K$600,"Not Run",Test_Cases!$B$2:$B$600,"EXAMPLE")</f>
        <v/>
      </c>
    </row>
    <row r="58">
      <c r="A58" s="15" t="inlineStr">
        <is>
          <t>Statement / Branch coverage</t>
        </is>
      </c>
      <c r="B58" s="25">
        <f>INDEX(Test_Catalog!$C$2:$C$48,MATCH(A58,Test_Catalog!$A$2:$A$48,0))</f>
        <v/>
      </c>
      <c r="C58" s="25">
        <f>COUNTIF(Test_Cases!$C$2:$C$600,A58)-COUNTIFS(Test_Cases!$C$2:$C$600,A58,Test_Cases!$B$2:$B$600,"EXAMPLE")</f>
        <v/>
      </c>
      <c r="D58" s="25">
        <f>COUNTIFS(Test_Cases!$C$2:$C$600,A58,Test_Cases!$K$2:$K$600,"Pass")-COUNTIFS(Test_Cases!$C$2:$C$600,A58,Test_Cases!$K$2:$K$600,"Pass",Test_Cases!$B$2:$B$600,"EXAMPLE")</f>
        <v/>
      </c>
      <c r="E58" s="25">
        <f>COUNTIFS(Test_Cases!$C$2:$C$600,A58,Test_Cases!$K$2:$K$600,"Fail")-COUNTIFS(Test_Cases!$C$2:$C$600,A58,Test_Cases!$K$2:$K$600,"Fail",Test_Cases!$B$2:$B$600,"EXAMPLE")</f>
        <v/>
      </c>
      <c r="F58" s="25">
        <f>COUNTIFS(Test_Cases!$C$2:$C$600,A58,Test_Cases!$K$2:$K$600,"Not Run")-COUNTIFS(Test_Cases!$C$2:$C$600,A58,Test_Cases!$K$2:$K$600,"Not Run",Test_Cases!$B$2:$B$600,"EXAMPLE")</f>
        <v/>
      </c>
    </row>
    <row r="59">
      <c r="A59" s="15" t="inlineStr">
        <is>
          <t>Mutation</t>
        </is>
      </c>
      <c r="B59" s="25">
        <f>INDEX(Test_Catalog!$C$2:$C$48,MATCH(A59,Test_Catalog!$A$2:$A$48,0))</f>
        <v/>
      </c>
      <c r="C59" s="25">
        <f>COUNTIF(Test_Cases!$C$2:$C$600,A59)-COUNTIFS(Test_Cases!$C$2:$C$600,A59,Test_Cases!$B$2:$B$600,"EXAMPLE")</f>
        <v/>
      </c>
      <c r="D59" s="25">
        <f>COUNTIFS(Test_Cases!$C$2:$C$600,A59,Test_Cases!$K$2:$K$600,"Pass")-COUNTIFS(Test_Cases!$C$2:$C$600,A59,Test_Cases!$K$2:$K$600,"Pass",Test_Cases!$B$2:$B$600,"EXAMPLE")</f>
        <v/>
      </c>
      <c r="E59" s="25">
        <f>COUNTIFS(Test_Cases!$C$2:$C$600,A59,Test_Cases!$K$2:$K$600,"Fail")-COUNTIFS(Test_Cases!$C$2:$C$600,A59,Test_Cases!$K$2:$K$600,"Fail",Test_Cases!$B$2:$B$600,"EXAMPLE")</f>
        <v/>
      </c>
      <c r="F59" s="25">
        <f>COUNTIFS(Test_Cases!$C$2:$C$600,A59,Test_Cases!$K$2:$K$600,"Not Run")-COUNTIFS(Test_Cases!$C$2:$C$600,A59,Test_Cases!$K$2:$K$600,"Not Run",Test_Cases!$B$2:$B$600,"EXAMPLE")</f>
        <v/>
      </c>
    </row>
    <row r="60">
      <c r="A60" s="15" t="inlineStr">
        <is>
          <t>Static analysis / Lint</t>
        </is>
      </c>
      <c r="B60" s="25">
        <f>INDEX(Test_Catalog!$C$2:$C$48,MATCH(A60,Test_Catalog!$A$2:$A$48,0))</f>
        <v/>
      </c>
      <c r="C60" s="25">
        <f>COUNTIF(Test_Cases!$C$2:$C$600,A60)-COUNTIFS(Test_Cases!$C$2:$C$600,A60,Test_Cases!$B$2:$B$600,"EXAMPLE")</f>
        <v/>
      </c>
      <c r="D60" s="25">
        <f>COUNTIFS(Test_Cases!$C$2:$C$600,A60,Test_Cases!$K$2:$K$600,"Pass")-COUNTIFS(Test_Cases!$C$2:$C$600,A60,Test_Cases!$K$2:$K$600,"Pass",Test_Cases!$B$2:$B$600,"EXAMPLE")</f>
        <v/>
      </c>
      <c r="E60" s="25">
        <f>COUNTIFS(Test_Cases!$C$2:$C$600,A60,Test_Cases!$K$2:$K$600,"Fail")-COUNTIFS(Test_Cases!$C$2:$C$600,A60,Test_Cases!$K$2:$K$600,"Fail",Test_Cases!$B$2:$B$600,"EXAMPLE")</f>
        <v/>
      </c>
      <c r="F60" s="25">
        <f>COUNTIFS(Test_Cases!$C$2:$C$600,A60,Test_Cases!$K$2:$K$600,"Not Run")-COUNTIFS(Test_Cases!$C$2:$C$600,A60,Test_Cases!$K$2:$K$600,"Not Run",Test_Cases!$B$2:$B$600,"EXAMPLE")</f>
        <v/>
      </c>
    </row>
    <row r="61">
      <c r="A61" s="15" t="inlineStr">
        <is>
          <t>Property-based</t>
        </is>
      </c>
      <c r="B61" s="25">
        <f>INDEX(Test_Catalog!$C$2:$C$48,MATCH(A61,Test_Catalog!$A$2:$A$48,0))</f>
        <v/>
      </c>
      <c r="C61" s="25">
        <f>COUNTIF(Test_Cases!$C$2:$C$600,A61)-COUNTIFS(Test_Cases!$C$2:$C$600,A61,Test_Cases!$B$2:$B$600,"EXAMPLE")</f>
        <v/>
      </c>
      <c r="D61" s="25">
        <f>COUNTIFS(Test_Cases!$C$2:$C$600,A61,Test_Cases!$K$2:$K$600,"Pass")-COUNTIFS(Test_Cases!$C$2:$C$600,A61,Test_Cases!$K$2:$K$600,"Pass",Test_Cases!$B$2:$B$600,"EXAMPLE")</f>
        <v/>
      </c>
      <c r="E61" s="25">
        <f>COUNTIFS(Test_Cases!$C$2:$C$600,A61,Test_Cases!$K$2:$K$600,"Fail")-COUNTIFS(Test_Cases!$C$2:$C$600,A61,Test_Cases!$K$2:$K$600,"Fail",Test_Cases!$B$2:$B$600,"EXAMPLE")</f>
        <v/>
      </c>
      <c r="F61" s="25">
        <f>COUNTIFS(Test_Cases!$C$2:$C$600,A61,Test_Cases!$K$2:$K$600,"Not Run")-COUNTIFS(Test_Cases!$C$2:$C$600,A61,Test_Cases!$K$2:$K$600,"Not Run",Test_Cases!$B$2:$B$600,"EXAMPLE")</f>
        <v/>
      </c>
    </row>
    <row r="62">
      <c r="A62" s="15" t="inlineStr">
        <is>
          <t>Fuzz</t>
        </is>
      </c>
      <c r="B62" s="25">
        <f>INDEX(Test_Catalog!$C$2:$C$48,MATCH(A62,Test_Catalog!$A$2:$A$48,0))</f>
        <v/>
      </c>
      <c r="C62" s="25">
        <f>COUNTIF(Test_Cases!$C$2:$C$600,A62)-COUNTIFS(Test_Cases!$C$2:$C$600,A62,Test_Cases!$B$2:$B$600,"EXAMPLE")</f>
        <v/>
      </c>
      <c r="D62" s="25">
        <f>COUNTIFS(Test_Cases!$C$2:$C$600,A62,Test_Cases!$K$2:$K$600,"Pass")-COUNTIFS(Test_Cases!$C$2:$C$600,A62,Test_Cases!$K$2:$K$600,"Pass",Test_Cases!$B$2:$B$600,"EXAMPLE")</f>
        <v/>
      </c>
      <c r="E62" s="25">
        <f>COUNTIFS(Test_Cases!$C$2:$C$600,A62,Test_Cases!$K$2:$K$600,"Fail")-COUNTIFS(Test_Cases!$C$2:$C$600,A62,Test_Cases!$K$2:$K$600,"Fail",Test_Cases!$B$2:$B$600,"EXAMPLE")</f>
        <v/>
      </c>
      <c r="F62" s="25">
        <f>COUNTIFS(Test_Cases!$C$2:$C$600,A62,Test_Cases!$K$2:$K$600,"Not Run")-COUNTIFS(Test_Cases!$C$2:$C$600,A62,Test_Cases!$K$2:$K$600,"Not Run",Test_Cases!$B$2:$B$600,"EXAMPLE")</f>
        <v/>
      </c>
    </row>
    <row r="63">
      <c r="A63" s="15" t="inlineStr">
        <is>
          <t>Concurrency / Race</t>
        </is>
      </c>
      <c r="B63" s="25">
        <f>INDEX(Test_Catalog!$C$2:$C$48,MATCH(A63,Test_Catalog!$A$2:$A$48,0))</f>
        <v/>
      </c>
      <c r="C63" s="25">
        <f>COUNTIF(Test_Cases!$C$2:$C$600,A63)-COUNTIFS(Test_Cases!$C$2:$C$600,A63,Test_Cases!$B$2:$B$600,"EXAMPLE")</f>
        <v/>
      </c>
      <c r="D63" s="25">
        <f>COUNTIFS(Test_Cases!$C$2:$C$600,A63,Test_Cases!$K$2:$K$600,"Pass")-COUNTIFS(Test_Cases!$C$2:$C$600,A63,Test_Cases!$K$2:$K$600,"Pass",Test_Cases!$B$2:$B$600,"EXAMPLE")</f>
        <v/>
      </c>
      <c r="E63" s="25">
        <f>COUNTIFS(Test_Cases!$C$2:$C$600,A63,Test_Cases!$K$2:$K$600,"Fail")-COUNTIFS(Test_Cases!$C$2:$C$600,A63,Test_Cases!$K$2:$K$600,"Fail",Test_Cases!$B$2:$B$600,"EXAMPLE")</f>
        <v/>
      </c>
      <c r="F63" s="25">
        <f>COUNTIFS(Test_Cases!$C$2:$C$600,A63,Test_Cases!$K$2:$K$600,"Not Run")-COUNTIFS(Test_Cases!$C$2:$C$600,A63,Test_Cases!$K$2:$K$600,"Not Run",Test_Cases!$B$2:$B$600,"EXAMPLE")</f>
        <v/>
      </c>
    </row>
    <row r="64">
      <c r="A64" s="15" t="inlineStr">
        <is>
          <t>Idempotency</t>
        </is>
      </c>
      <c r="B64" s="25">
        <f>INDEX(Test_Catalog!$C$2:$C$48,MATCH(A64,Test_Catalog!$A$2:$A$48,0))</f>
        <v/>
      </c>
      <c r="C64" s="25">
        <f>COUNTIF(Test_Cases!$C$2:$C$600,A64)-COUNTIFS(Test_Cases!$C$2:$C$600,A64,Test_Cases!$B$2:$B$600,"EXAMPLE")</f>
        <v/>
      </c>
      <c r="D64" s="25">
        <f>COUNTIFS(Test_Cases!$C$2:$C$600,A64,Test_Cases!$K$2:$K$600,"Pass")-COUNTIFS(Test_Cases!$C$2:$C$600,A64,Test_Cases!$K$2:$K$600,"Pass",Test_Cases!$B$2:$B$600,"EXAMPLE")</f>
        <v/>
      </c>
      <c r="E64" s="25">
        <f>COUNTIFS(Test_Cases!$C$2:$C$600,A64,Test_Cases!$K$2:$K$600,"Fail")-COUNTIFS(Test_Cases!$C$2:$C$600,A64,Test_Cases!$K$2:$K$600,"Fail",Test_Cases!$B$2:$B$600,"EXAMPLE")</f>
        <v/>
      </c>
      <c r="F64" s="25">
        <f>COUNTIFS(Test_Cases!$C$2:$C$600,A64,Test_Cases!$K$2:$K$600,"Not Run")-COUNTIFS(Test_Cases!$C$2:$C$600,A64,Test_Cases!$K$2:$K$600,"Not Run",Test_Cases!$B$2:$B$600,"EXAMPLE")</f>
        <v/>
      </c>
    </row>
    <row r="65">
      <c r="A65" s="15" t="inlineStr">
        <is>
          <t>Data integrity / Invariant</t>
        </is>
      </c>
      <c r="B65" s="25">
        <f>INDEX(Test_Catalog!$C$2:$C$48,MATCH(A65,Test_Catalog!$A$2:$A$48,0))</f>
        <v/>
      </c>
      <c r="C65" s="25">
        <f>COUNTIF(Test_Cases!$C$2:$C$600,A65)-COUNTIFS(Test_Cases!$C$2:$C$600,A65,Test_Cases!$B$2:$B$600,"EXAMPLE")</f>
        <v/>
      </c>
      <c r="D65" s="25">
        <f>COUNTIFS(Test_Cases!$C$2:$C$600,A65,Test_Cases!$K$2:$K$600,"Pass")-COUNTIFS(Test_Cases!$C$2:$C$600,A65,Test_Cases!$K$2:$K$600,"Pass",Test_Cases!$B$2:$B$600,"EXAMPLE")</f>
        <v/>
      </c>
      <c r="E65" s="25">
        <f>COUNTIFS(Test_Cases!$C$2:$C$600,A65,Test_Cases!$K$2:$K$600,"Fail")-COUNTIFS(Test_Cases!$C$2:$C$600,A65,Test_Cases!$K$2:$K$600,"Fail",Test_Cases!$B$2:$B$600,"EXAMPLE")</f>
        <v/>
      </c>
      <c r="F65" s="25">
        <f>COUNTIFS(Test_Cases!$C$2:$C$600,A65,Test_Cases!$K$2:$K$600,"Not Run")-COUNTIFS(Test_Cases!$C$2:$C$600,A65,Test_Cases!$K$2:$K$600,"Not Run",Test_Cases!$B$2:$B$600,"EXAMPLE")</f>
        <v/>
      </c>
    </row>
    <row r="66">
      <c r="A66" s="15" t="inlineStr">
        <is>
          <t>Database migration</t>
        </is>
      </c>
      <c r="B66" s="25">
        <f>INDEX(Test_Catalog!$C$2:$C$48,MATCH(A66,Test_Catalog!$A$2:$A$48,0))</f>
        <v/>
      </c>
      <c r="C66" s="25">
        <f>COUNTIF(Test_Cases!$C$2:$C$600,A66)-COUNTIFS(Test_Cases!$C$2:$C$600,A66,Test_Cases!$B$2:$B$600,"EXAMPLE")</f>
        <v/>
      </c>
      <c r="D66" s="25">
        <f>COUNTIFS(Test_Cases!$C$2:$C$600,A66,Test_Cases!$K$2:$K$600,"Pass")-COUNTIFS(Test_Cases!$C$2:$C$600,A66,Test_Cases!$K$2:$K$600,"Pass",Test_Cases!$B$2:$B$600,"EXAMPLE")</f>
        <v/>
      </c>
      <c r="E66" s="25">
        <f>COUNTIFS(Test_Cases!$C$2:$C$600,A66,Test_Cases!$K$2:$K$600,"Fail")-COUNTIFS(Test_Cases!$C$2:$C$600,A66,Test_Cases!$K$2:$K$600,"Fail",Test_Cases!$B$2:$B$600,"EXAMPLE")</f>
        <v/>
      </c>
      <c r="F66" s="25">
        <f>COUNTIFS(Test_Cases!$C$2:$C$600,A66,Test_Cases!$K$2:$K$600,"Not Run")-COUNTIFS(Test_Cases!$C$2:$C$600,A66,Test_Cases!$K$2:$K$600,"Not Run",Test_Cases!$B$2:$B$600,"EXAMPLE")</f>
        <v/>
      </c>
    </row>
    <row r="67">
      <c r="A67" s="15" t="inlineStr">
        <is>
          <t>Compatibility (SDK / version)</t>
        </is>
      </c>
      <c r="B67" s="25">
        <f>INDEX(Test_Catalog!$C$2:$C$48,MATCH(A67,Test_Catalog!$A$2:$A$48,0))</f>
        <v/>
      </c>
      <c r="C67" s="25">
        <f>COUNTIF(Test_Cases!$C$2:$C$600,A67)-COUNTIFS(Test_Cases!$C$2:$C$600,A67,Test_Cases!$B$2:$B$600,"EXAMPLE")</f>
        <v/>
      </c>
      <c r="D67" s="25">
        <f>COUNTIFS(Test_Cases!$C$2:$C$600,A67,Test_Cases!$K$2:$K$600,"Pass")-COUNTIFS(Test_Cases!$C$2:$C$600,A67,Test_Cases!$K$2:$K$600,"Pass",Test_Cases!$B$2:$B$600,"EXAMPLE")</f>
        <v/>
      </c>
      <c r="E67" s="25">
        <f>COUNTIFS(Test_Cases!$C$2:$C$600,A67,Test_Cases!$K$2:$K$600,"Fail")-COUNTIFS(Test_Cases!$C$2:$C$600,A67,Test_Cases!$K$2:$K$600,"Fail",Test_Cases!$B$2:$B$600,"EXAMPLE")</f>
        <v/>
      </c>
      <c r="F67" s="25">
        <f>COUNTIFS(Test_Cases!$C$2:$C$600,A67,Test_Cases!$K$2:$K$600,"Not Run")-COUNTIFS(Test_Cases!$C$2:$C$600,A67,Test_Cases!$K$2:$K$600,"Not Run",Test_Cases!$B$2:$B$600,"EXAMPLE")</f>
        <v/>
      </c>
    </row>
    <row r="68">
      <c r="A68" s="15" t="inlineStr">
        <is>
          <t>Performance benchmark (micro)</t>
        </is>
      </c>
      <c r="B68" s="25">
        <f>INDEX(Test_Catalog!$C$2:$C$48,MATCH(A68,Test_Catalog!$A$2:$A$48,0))</f>
        <v/>
      </c>
      <c r="C68" s="25">
        <f>COUNTIF(Test_Cases!$C$2:$C$600,A68)-COUNTIFS(Test_Cases!$C$2:$C$600,A68,Test_Cases!$B$2:$B$600,"EXAMPLE")</f>
        <v/>
      </c>
      <c r="D68" s="25">
        <f>COUNTIFS(Test_Cases!$C$2:$C$600,A68,Test_Cases!$K$2:$K$600,"Pass")-COUNTIFS(Test_Cases!$C$2:$C$600,A68,Test_Cases!$K$2:$K$600,"Pass",Test_Cases!$B$2:$B$600,"EXAMPLE")</f>
        <v/>
      </c>
      <c r="E68" s="25">
        <f>COUNTIFS(Test_Cases!$C$2:$C$600,A68,Test_Cases!$K$2:$K$600,"Fail")-COUNTIFS(Test_Cases!$C$2:$C$600,A68,Test_Cases!$K$2:$K$600,"Fail",Test_Cases!$B$2:$B$600,"EXAMPLE")</f>
        <v/>
      </c>
      <c r="F68" s="25">
        <f>COUNTIFS(Test_Cases!$C$2:$C$600,A68,Test_Cases!$K$2:$K$600,"Not Run")-COUNTIFS(Test_Cases!$C$2:$C$600,A68,Test_Cases!$K$2:$K$600,"Not Run",Test_Cases!$B$2:$B$600,"EXAMPLE")</f>
        <v/>
      </c>
    </row>
    <row r="69">
      <c r="A69" s="15" t="inlineStr">
        <is>
          <t>Load</t>
        </is>
      </c>
      <c r="B69" s="25">
        <f>INDEX(Test_Catalog!$C$2:$C$48,MATCH(A69,Test_Catalog!$A$2:$A$48,0))</f>
        <v/>
      </c>
      <c r="C69" s="25">
        <f>COUNTIF(Test_Cases!$C$2:$C$600,A69)-COUNTIFS(Test_Cases!$C$2:$C$600,A69,Test_Cases!$B$2:$B$600,"EXAMPLE")</f>
        <v/>
      </c>
      <c r="D69" s="25">
        <f>COUNTIFS(Test_Cases!$C$2:$C$600,A69,Test_Cases!$K$2:$K$600,"Pass")-COUNTIFS(Test_Cases!$C$2:$C$600,A69,Test_Cases!$K$2:$K$600,"Pass",Test_Cases!$B$2:$B$600,"EXAMPLE")</f>
        <v/>
      </c>
      <c r="E69" s="25">
        <f>COUNTIFS(Test_Cases!$C$2:$C$600,A69,Test_Cases!$K$2:$K$600,"Fail")-COUNTIFS(Test_Cases!$C$2:$C$600,A69,Test_Cases!$K$2:$K$600,"Fail",Test_Cases!$B$2:$B$600,"EXAMPLE")</f>
        <v/>
      </c>
      <c r="F69" s="25">
        <f>COUNTIFS(Test_Cases!$C$2:$C$600,A69,Test_Cases!$K$2:$K$600,"Not Run")-COUNTIFS(Test_Cases!$C$2:$C$600,A69,Test_Cases!$K$2:$K$600,"Not Run",Test_Cases!$B$2:$B$600,"EXAMPLE")</f>
        <v/>
      </c>
    </row>
    <row r="70">
      <c r="A70" s="15" t="inlineStr">
        <is>
          <t>Stress / Breakpoint</t>
        </is>
      </c>
      <c r="B70" s="25">
        <f>INDEX(Test_Catalog!$C$2:$C$48,MATCH(A70,Test_Catalog!$A$2:$A$48,0))</f>
        <v/>
      </c>
      <c r="C70" s="25">
        <f>COUNTIF(Test_Cases!$C$2:$C$600,A70)-COUNTIFS(Test_Cases!$C$2:$C$600,A70,Test_Cases!$B$2:$B$600,"EXAMPLE")</f>
        <v/>
      </c>
      <c r="D70" s="25">
        <f>COUNTIFS(Test_Cases!$C$2:$C$600,A70,Test_Cases!$K$2:$K$600,"Pass")-COUNTIFS(Test_Cases!$C$2:$C$600,A70,Test_Cases!$K$2:$K$600,"Pass",Test_Cases!$B$2:$B$600,"EXAMPLE")</f>
        <v/>
      </c>
      <c r="E70" s="25">
        <f>COUNTIFS(Test_Cases!$C$2:$C$600,A70,Test_Cases!$K$2:$K$600,"Fail")-COUNTIFS(Test_Cases!$C$2:$C$600,A70,Test_Cases!$K$2:$K$600,"Fail",Test_Cases!$B$2:$B$600,"EXAMPLE")</f>
        <v/>
      </c>
      <c r="F70" s="25">
        <f>COUNTIFS(Test_Cases!$C$2:$C$600,A70,Test_Cases!$K$2:$K$600,"Not Run")-COUNTIFS(Test_Cases!$C$2:$C$600,A70,Test_Cases!$K$2:$K$600,"Not Run",Test_Cases!$B$2:$B$600,"EXAMPLE")</f>
        <v/>
      </c>
    </row>
    <row r="71">
      <c r="A71" s="15" t="inlineStr">
        <is>
          <t>Spike</t>
        </is>
      </c>
      <c r="B71" s="25">
        <f>INDEX(Test_Catalog!$C$2:$C$48,MATCH(A71,Test_Catalog!$A$2:$A$48,0))</f>
        <v/>
      </c>
      <c r="C71" s="25">
        <f>COUNTIF(Test_Cases!$C$2:$C$600,A71)-COUNTIFS(Test_Cases!$C$2:$C$600,A71,Test_Cases!$B$2:$B$600,"EXAMPLE")</f>
        <v/>
      </c>
      <c r="D71" s="25">
        <f>COUNTIFS(Test_Cases!$C$2:$C$600,A71,Test_Cases!$K$2:$K$600,"Pass")-COUNTIFS(Test_Cases!$C$2:$C$600,A71,Test_Cases!$K$2:$K$600,"Pass",Test_Cases!$B$2:$B$600,"EXAMPLE")</f>
        <v/>
      </c>
      <c r="E71" s="25">
        <f>COUNTIFS(Test_Cases!$C$2:$C$600,A71,Test_Cases!$K$2:$K$600,"Fail")-COUNTIFS(Test_Cases!$C$2:$C$600,A71,Test_Cases!$K$2:$K$600,"Fail",Test_Cases!$B$2:$B$600,"EXAMPLE")</f>
        <v/>
      </c>
      <c r="F71" s="25">
        <f>COUNTIFS(Test_Cases!$C$2:$C$600,A71,Test_Cases!$K$2:$K$600,"Not Run")-COUNTIFS(Test_Cases!$C$2:$C$600,A71,Test_Cases!$K$2:$K$600,"Not Run",Test_Cases!$B$2:$B$600,"EXAMPLE")</f>
        <v/>
      </c>
    </row>
    <row r="72">
      <c r="A72" s="15" t="inlineStr">
        <is>
          <t>Soak / Endurance</t>
        </is>
      </c>
      <c r="B72" s="25">
        <f>INDEX(Test_Catalog!$C$2:$C$48,MATCH(A72,Test_Catalog!$A$2:$A$48,0))</f>
        <v/>
      </c>
      <c r="C72" s="25">
        <f>COUNTIF(Test_Cases!$C$2:$C$600,A72)-COUNTIFS(Test_Cases!$C$2:$C$600,A72,Test_Cases!$B$2:$B$600,"EXAMPLE")</f>
        <v/>
      </c>
      <c r="D72" s="25">
        <f>COUNTIFS(Test_Cases!$C$2:$C$600,A72,Test_Cases!$K$2:$K$600,"Pass")-COUNTIFS(Test_Cases!$C$2:$C$600,A72,Test_Cases!$K$2:$K$600,"Pass",Test_Cases!$B$2:$B$600,"EXAMPLE")</f>
        <v/>
      </c>
      <c r="E72" s="25">
        <f>COUNTIFS(Test_Cases!$C$2:$C$600,A72,Test_Cases!$K$2:$K$600,"Fail")-COUNTIFS(Test_Cases!$C$2:$C$600,A72,Test_Cases!$K$2:$K$600,"Fail",Test_Cases!$B$2:$B$600,"EXAMPLE")</f>
        <v/>
      </c>
      <c r="F72" s="25">
        <f>COUNTIFS(Test_Cases!$C$2:$C$600,A72,Test_Cases!$K$2:$K$600,"Not Run")-COUNTIFS(Test_Cases!$C$2:$C$600,A72,Test_Cases!$K$2:$K$600,"Not Run",Test_Cases!$B$2:$B$600,"EXAMPLE")</f>
        <v/>
      </c>
    </row>
    <row r="73">
      <c r="A73" s="15" t="inlineStr">
        <is>
          <t>Scalability</t>
        </is>
      </c>
      <c r="B73" s="25">
        <f>INDEX(Test_Catalog!$C$2:$C$48,MATCH(A73,Test_Catalog!$A$2:$A$48,0))</f>
        <v/>
      </c>
      <c r="C73" s="25">
        <f>COUNTIF(Test_Cases!$C$2:$C$600,A73)-COUNTIFS(Test_Cases!$C$2:$C$600,A73,Test_Cases!$B$2:$B$600,"EXAMPLE")</f>
        <v/>
      </c>
      <c r="D73" s="25">
        <f>COUNTIFS(Test_Cases!$C$2:$C$600,A73,Test_Cases!$K$2:$K$600,"Pass")-COUNTIFS(Test_Cases!$C$2:$C$600,A73,Test_Cases!$K$2:$K$600,"Pass",Test_Cases!$B$2:$B$600,"EXAMPLE")</f>
        <v/>
      </c>
      <c r="E73" s="25">
        <f>COUNTIFS(Test_Cases!$C$2:$C$600,A73,Test_Cases!$K$2:$K$600,"Fail")-COUNTIFS(Test_Cases!$C$2:$C$600,A73,Test_Cases!$K$2:$K$600,"Fail",Test_Cases!$B$2:$B$600,"EXAMPLE")</f>
        <v/>
      </c>
      <c r="F73" s="25">
        <f>COUNTIFS(Test_Cases!$C$2:$C$600,A73,Test_Cases!$K$2:$K$600,"Not Run")-COUNTIFS(Test_Cases!$C$2:$C$600,A73,Test_Cases!$K$2:$K$600,"Not Run",Test_Cases!$B$2:$B$600,"EXAMPLE")</f>
        <v/>
      </c>
    </row>
    <row r="74">
      <c r="A74" s="15" t="inlineStr">
        <is>
          <t>Volume</t>
        </is>
      </c>
      <c r="B74" s="25">
        <f>INDEX(Test_Catalog!$C$2:$C$48,MATCH(A74,Test_Catalog!$A$2:$A$48,0))</f>
        <v/>
      </c>
      <c r="C74" s="25">
        <f>COUNTIF(Test_Cases!$C$2:$C$600,A74)-COUNTIFS(Test_Cases!$C$2:$C$600,A74,Test_Cases!$B$2:$B$600,"EXAMPLE")</f>
        <v/>
      </c>
      <c r="D74" s="25">
        <f>COUNTIFS(Test_Cases!$C$2:$C$600,A74,Test_Cases!$K$2:$K$600,"Pass")-COUNTIFS(Test_Cases!$C$2:$C$600,A74,Test_Cases!$K$2:$K$600,"Pass",Test_Cases!$B$2:$B$600,"EXAMPLE")</f>
        <v/>
      </c>
      <c r="E74" s="25">
        <f>COUNTIFS(Test_Cases!$C$2:$C$600,A74,Test_Cases!$K$2:$K$600,"Fail")-COUNTIFS(Test_Cases!$C$2:$C$600,A74,Test_Cases!$K$2:$K$600,"Fail",Test_Cases!$B$2:$B$600,"EXAMPLE")</f>
        <v/>
      </c>
      <c r="F74" s="25">
        <f>COUNTIFS(Test_Cases!$C$2:$C$600,A74,Test_Cases!$K$2:$K$600,"Not Run")-COUNTIFS(Test_Cases!$C$2:$C$600,A74,Test_Cases!$K$2:$K$600,"Not Run",Test_Cases!$B$2:$B$600,"EXAMPLE")</f>
        <v/>
      </c>
    </row>
    <row r="75">
      <c r="A75" s="15" t="inlineStr">
        <is>
          <t>Capacity planning</t>
        </is>
      </c>
      <c r="B75" s="25">
        <f>INDEX(Test_Catalog!$C$2:$C$48,MATCH(A75,Test_Catalog!$A$2:$A$48,0))</f>
        <v/>
      </c>
      <c r="C75" s="25">
        <f>COUNTIF(Test_Cases!$C$2:$C$600,A75)-COUNTIFS(Test_Cases!$C$2:$C$600,A75,Test_Cases!$B$2:$B$600,"EXAMPLE")</f>
        <v/>
      </c>
      <c r="D75" s="25">
        <f>COUNTIFS(Test_Cases!$C$2:$C$600,A75,Test_Cases!$K$2:$K$600,"Pass")-COUNTIFS(Test_Cases!$C$2:$C$600,A75,Test_Cases!$K$2:$K$600,"Pass",Test_Cases!$B$2:$B$600,"EXAMPLE")</f>
        <v/>
      </c>
      <c r="E75" s="25">
        <f>COUNTIFS(Test_Cases!$C$2:$C$600,A75,Test_Cases!$K$2:$K$600,"Fail")-COUNTIFS(Test_Cases!$C$2:$C$600,A75,Test_Cases!$K$2:$K$600,"Fail",Test_Cases!$B$2:$B$600,"EXAMPLE")</f>
        <v/>
      </c>
      <c r="F75" s="25">
        <f>COUNTIFS(Test_Cases!$C$2:$C$600,A75,Test_Cases!$K$2:$K$600,"Not Run")-COUNTIFS(Test_Cases!$C$2:$C$600,A75,Test_Cases!$K$2:$K$600,"Not Run",Test_Cases!$B$2:$B$600,"EXAMPLE")</f>
        <v/>
      </c>
    </row>
    <row r="76">
      <c r="A76" s="15" t="inlineStr">
        <is>
          <t>Chaos engineering</t>
        </is>
      </c>
      <c r="B76" s="25">
        <f>INDEX(Test_Catalog!$C$2:$C$48,MATCH(A76,Test_Catalog!$A$2:$A$48,0))</f>
        <v/>
      </c>
      <c r="C76" s="25">
        <f>COUNTIF(Test_Cases!$C$2:$C$600,A76)-COUNTIFS(Test_Cases!$C$2:$C$600,A76,Test_Cases!$B$2:$B$600,"EXAMPLE")</f>
        <v/>
      </c>
      <c r="D76" s="25">
        <f>COUNTIFS(Test_Cases!$C$2:$C$600,A76,Test_Cases!$K$2:$K$600,"Pass")-COUNTIFS(Test_Cases!$C$2:$C$600,A76,Test_Cases!$K$2:$K$600,"Pass",Test_Cases!$B$2:$B$600,"EXAMPLE")</f>
        <v/>
      </c>
      <c r="E76" s="25">
        <f>COUNTIFS(Test_Cases!$C$2:$C$600,A76,Test_Cases!$K$2:$K$600,"Fail")-COUNTIFS(Test_Cases!$C$2:$C$600,A76,Test_Cases!$K$2:$K$600,"Fail",Test_Cases!$B$2:$B$600,"EXAMPLE")</f>
        <v/>
      </c>
      <c r="F76" s="25">
        <f>COUNTIFS(Test_Cases!$C$2:$C$600,A76,Test_Cases!$K$2:$K$600,"Not Run")-COUNTIFS(Test_Cases!$C$2:$C$600,A76,Test_Cases!$K$2:$K$600,"Not Run",Test_Cases!$B$2:$B$600,"EXAMPLE")</f>
        <v/>
      </c>
    </row>
    <row r="77">
      <c r="A77" s="15" t="inlineStr">
        <is>
          <t>Failover / Disaster recovery</t>
        </is>
      </c>
      <c r="B77" s="25">
        <f>INDEX(Test_Catalog!$C$2:$C$48,MATCH(A77,Test_Catalog!$A$2:$A$48,0))</f>
        <v/>
      </c>
      <c r="C77" s="25">
        <f>COUNTIF(Test_Cases!$C$2:$C$600,A77)-COUNTIFS(Test_Cases!$C$2:$C$600,A77,Test_Cases!$B$2:$B$600,"EXAMPLE")</f>
        <v/>
      </c>
      <c r="D77" s="25">
        <f>COUNTIFS(Test_Cases!$C$2:$C$600,A77,Test_Cases!$K$2:$K$600,"Pass")-COUNTIFS(Test_Cases!$C$2:$C$600,A77,Test_Cases!$K$2:$K$600,"Pass",Test_Cases!$B$2:$B$600,"EXAMPLE")</f>
        <v/>
      </c>
      <c r="E77" s="25">
        <f>COUNTIFS(Test_Cases!$C$2:$C$600,A77,Test_Cases!$K$2:$K$600,"Fail")-COUNTIFS(Test_Cases!$C$2:$C$600,A77,Test_Cases!$K$2:$K$600,"Fail",Test_Cases!$B$2:$B$600,"EXAMPLE")</f>
        <v/>
      </c>
      <c r="F77" s="25">
        <f>COUNTIFS(Test_Cases!$C$2:$C$600,A77,Test_Cases!$K$2:$K$600,"Not Run")-COUNTIFS(Test_Cases!$C$2:$C$600,A77,Test_Cases!$K$2:$K$600,"Not Run",Test_Cases!$B$2:$B$600,"EXAMPLE")</f>
        <v/>
      </c>
    </row>
    <row r="78">
      <c r="A78" s="15" t="inlineStr">
        <is>
          <t>Backup &amp; restore</t>
        </is>
      </c>
      <c r="B78" s="25">
        <f>INDEX(Test_Catalog!$C$2:$C$48,MATCH(A78,Test_Catalog!$A$2:$A$48,0))</f>
        <v/>
      </c>
      <c r="C78" s="25">
        <f>COUNTIF(Test_Cases!$C$2:$C$600,A78)-COUNTIFS(Test_Cases!$C$2:$C$600,A78,Test_Cases!$B$2:$B$600,"EXAMPLE")</f>
        <v/>
      </c>
      <c r="D78" s="25">
        <f>COUNTIFS(Test_Cases!$C$2:$C$600,A78,Test_Cases!$K$2:$K$600,"Pass")-COUNTIFS(Test_Cases!$C$2:$C$600,A78,Test_Cases!$K$2:$K$600,"Pass",Test_Cases!$B$2:$B$600,"EXAMPLE")</f>
        <v/>
      </c>
      <c r="E78" s="25">
        <f>COUNTIFS(Test_Cases!$C$2:$C$600,A78,Test_Cases!$K$2:$K$600,"Fail")-COUNTIFS(Test_Cases!$C$2:$C$600,A78,Test_Cases!$K$2:$K$600,"Fail",Test_Cases!$B$2:$B$600,"EXAMPLE")</f>
        <v/>
      </c>
      <c r="F78" s="25">
        <f>COUNTIFS(Test_Cases!$C$2:$C$600,A78,Test_Cases!$K$2:$K$600,"Not Run")-COUNTIFS(Test_Cases!$C$2:$C$600,A78,Test_Cases!$K$2:$K$600,"Not Run",Test_Cases!$B$2:$B$600,"EXAMPLE")</f>
        <v/>
      </c>
    </row>
    <row r="79">
      <c r="A79" s="15" t="inlineStr">
        <is>
          <t>Resilience patterns</t>
        </is>
      </c>
      <c r="B79" s="25">
        <f>INDEX(Test_Catalog!$C$2:$C$48,MATCH(A79,Test_Catalog!$A$2:$A$48,0))</f>
        <v/>
      </c>
      <c r="C79" s="25">
        <f>COUNTIF(Test_Cases!$C$2:$C$600,A79)-COUNTIFS(Test_Cases!$C$2:$C$600,A79,Test_Cases!$B$2:$B$600,"EXAMPLE")</f>
        <v/>
      </c>
      <c r="D79" s="25">
        <f>COUNTIFS(Test_Cases!$C$2:$C$600,A79,Test_Cases!$K$2:$K$600,"Pass")-COUNTIFS(Test_Cases!$C$2:$C$600,A79,Test_Cases!$K$2:$K$600,"Pass",Test_Cases!$B$2:$B$600,"EXAMPLE")</f>
        <v/>
      </c>
      <c r="E79" s="25">
        <f>COUNTIFS(Test_Cases!$C$2:$C$600,A79,Test_Cases!$K$2:$K$600,"Fail")-COUNTIFS(Test_Cases!$C$2:$C$600,A79,Test_Cases!$K$2:$K$600,"Fail",Test_Cases!$B$2:$B$600,"EXAMPLE")</f>
        <v/>
      </c>
      <c r="F79" s="25">
        <f>COUNTIFS(Test_Cases!$C$2:$C$600,A79,Test_Cases!$K$2:$K$600,"Not Run")-COUNTIFS(Test_Cases!$C$2:$C$600,A79,Test_Cases!$K$2:$K$600,"Not Run",Test_Cases!$B$2:$B$600,"EXAMPLE")</f>
        <v/>
      </c>
    </row>
    <row r="80">
      <c r="A80" s="15" t="inlineStr">
        <is>
          <t>Network partition (Jepsen-style)</t>
        </is>
      </c>
      <c r="B80" s="25">
        <f>INDEX(Test_Catalog!$C$2:$C$48,MATCH(A80,Test_Catalog!$A$2:$A$48,0))</f>
        <v/>
      </c>
      <c r="C80" s="25">
        <f>COUNTIF(Test_Cases!$C$2:$C$600,A80)-COUNTIFS(Test_Cases!$C$2:$C$600,A80,Test_Cases!$B$2:$B$600,"EXAMPLE")</f>
        <v/>
      </c>
      <c r="D80" s="25">
        <f>COUNTIFS(Test_Cases!$C$2:$C$600,A80,Test_Cases!$K$2:$K$600,"Pass")-COUNTIFS(Test_Cases!$C$2:$C$600,A80,Test_Cases!$K$2:$K$600,"Pass",Test_Cases!$B$2:$B$600,"EXAMPLE")</f>
        <v/>
      </c>
      <c r="E80" s="25">
        <f>COUNTIFS(Test_Cases!$C$2:$C$600,A80,Test_Cases!$K$2:$K$600,"Fail")-COUNTIFS(Test_Cases!$C$2:$C$600,A80,Test_Cases!$K$2:$K$600,"Fail",Test_Cases!$B$2:$B$600,"EXAMPLE")</f>
        <v/>
      </c>
      <c r="F80" s="25">
        <f>COUNTIFS(Test_Cases!$C$2:$C$600,A80,Test_Cases!$K$2:$K$600,"Not Run")-COUNTIFS(Test_Cases!$C$2:$C$600,A80,Test_Cases!$K$2:$K$600,"Not Run",Test_Cases!$B$2:$B$600,"EXAMPLE")</f>
        <v/>
      </c>
    </row>
    <row r="81">
      <c r="A81" s="15" t="inlineStr">
        <is>
          <t>Deployment / Rollback</t>
        </is>
      </c>
      <c r="B81" s="25">
        <f>INDEX(Test_Catalog!$C$2:$C$48,MATCH(A81,Test_Catalog!$A$2:$A$48,0))</f>
        <v/>
      </c>
      <c r="C81" s="25">
        <f>COUNTIF(Test_Cases!$C$2:$C$600,A81)-COUNTIFS(Test_Cases!$C$2:$C$600,A81,Test_Cases!$B$2:$B$600,"EXAMPLE")</f>
        <v/>
      </c>
      <c r="D81" s="25">
        <f>COUNTIFS(Test_Cases!$C$2:$C$600,A81,Test_Cases!$K$2:$K$600,"Pass")-COUNTIFS(Test_Cases!$C$2:$C$600,A81,Test_Cases!$K$2:$K$600,"Pass",Test_Cases!$B$2:$B$600,"EXAMPLE")</f>
        <v/>
      </c>
      <c r="E81" s="25">
        <f>COUNTIFS(Test_Cases!$C$2:$C$600,A81,Test_Cases!$K$2:$K$600,"Fail")-COUNTIFS(Test_Cases!$C$2:$C$600,A81,Test_Cases!$K$2:$K$600,"Fail",Test_Cases!$B$2:$B$600,"EXAMPLE")</f>
        <v/>
      </c>
      <c r="F81" s="25">
        <f>COUNTIFS(Test_Cases!$C$2:$C$600,A81,Test_Cases!$K$2:$K$600,"Not Run")-COUNTIFS(Test_Cases!$C$2:$C$600,A81,Test_Cases!$K$2:$K$600,"Not Run",Test_Cases!$B$2:$B$600,"EXAMPLE")</f>
        <v/>
      </c>
    </row>
    <row r="82">
      <c r="A82" s="15" t="inlineStr">
        <is>
          <t>SAST</t>
        </is>
      </c>
      <c r="B82" s="25">
        <f>INDEX(Test_Catalog!$C$2:$C$48,MATCH(A82,Test_Catalog!$A$2:$A$48,0))</f>
        <v/>
      </c>
      <c r="C82" s="25">
        <f>COUNTIF(Test_Cases!$C$2:$C$600,A82)-COUNTIFS(Test_Cases!$C$2:$C$600,A82,Test_Cases!$B$2:$B$600,"EXAMPLE")</f>
        <v/>
      </c>
      <c r="D82" s="25">
        <f>COUNTIFS(Test_Cases!$C$2:$C$600,A82,Test_Cases!$K$2:$K$600,"Pass")-COUNTIFS(Test_Cases!$C$2:$C$600,A82,Test_Cases!$K$2:$K$600,"Pass",Test_Cases!$B$2:$B$600,"EXAMPLE")</f>
        <v/>
      </c>
      <c r="E82" s="25">
        <f>COUNTIFS(Test_Cases!$C$2:$C$600,A82,Test_Cases!$K$2:$K$600,"Fail")-COUNTIFS(Test_Cases!$C$2:$C$600,A82,Test_Cases!$K$2:$K$600,"Fail",Test_Cases!$B$2:$B$600,"EXAMPLE")</f>
        <v/>
      </c>
      <c r="F82" s="25">
        <f>COUNTIFS(Test_Cases!$C$2:$C$600,A82,Test_Cases!$K$2:$K$600,"Not Run")-COUNTIFS(Test_Cases!$C$2:$C$600,A82,Test_Cases!$K$2:$K$600,"Not Run",Test_Cases!$B$2:$B$600,"EXAMPLE")</f>
        <v/>
      </c>
    </row>
    <row r="83">
      <c r="A83" s="15" t="inlineStr">
        <is>
          <t>SCA / Dependency &amp; image scan</t>
        </is>
      </c>
      <c r="B83" s="25">
        <f>INDEX(Test_Catalog!$C$2:$C$48,MATCH(A83,Test_Catalog!$A$2:$A$48,0))</f>
        <v/>
      </c>
      <c r="C83" s="25">
        <f>COUNTIF(Test_Cases!$C$2:$C$600,A83)-COUNTIFS(Test_Cases!$C$2:$C$600,A83,Test_Cases!$B$2:$B$600,"EXAMPLE")</f>
        <v/>
      </c>
      <c r="D83" s="25">
        <f>COUNTIFS(Test_Cases!$C$2:$C$600,A83,Test_Cases!$K$2:$K$600,"Pass")-COUNTIFS(Test_Cases!$C$2:$C$600,A83,Test_Cases!$K$2:$K$600,"Pass",Test_Cases!$B$2:$B$600,"EXAMPLE")</f>
        <v/>
      </c>
      <c r="E83" s="25">
        <f>COUNTIFS(Test_Cases!$C$2:$C$600,A83,Test_Cases!$K$2:$K$600,"Fail")-COUNTIFS(Test_Cases!$C$2:$C$600,A83,Test_Cases!$K$2:$K$600,"Fail",Test_Cases!$B$2:$B$600,"EXAMPLE")</f>
        <v/>
      </c>
      <c r="F83" s="25">
        <f>COUNTIFS(Test_Cases!$C$2:$C$600,A83,Test_Cases!$K$2:$K$600,"Not Run")-COUNTIFS(Test_Cases!$C$2:$C$600,A83,Test_Cases!$K$2:$K$600,"Not Run",Test_Cases!$B$2:$B$600,"EXAMPLE")</f>
        <v/>
      </c>
    </row>
    <row r="84">
      <c r="A84" s="15" t="inlineStr">
        <is>
          <t>Secrets scanning</t>
        </is>
      </c>
      <c r="B84" s="25">
        <f>INDEX(Test_Catalog!$C$2:$C$48,MATCH(A84,Test_Catalog!$A$2:$A$48,0))</f>
        <v/>
      </c>
      <c r="C84" s="25">
        <f>COUNTIF(Test_Cases!$C$2:$C$600,A84)-COUNTIFS(Test_Cases!$C$2:$C$600,A84,Test_Cases!$B$2:$B$600,"EXAMPLE")</f>
        <v/>
      </c>
      <c r="D84" s="25">
        <f>COUNTIFS(Test_Cases!$C$2:$C$600,A84,Test_Cases!$K$2:$K$600,"Pass")-COUNTIFS(Test_Cases!$C$2:$C$600,A84,Test_Cases!$K$2:$K$600,"Pass",Test_Cases!$B$2:$B$600,"EXAMPLE")</f>
        <v/>
      </c>
      <c r="E84" s="25">
        <f>COUNTIFS(Test_Cases!$C$2:$C$600,A84,Test_Cases!$K$2:$K$600,"Fail")-COUNTIFS(Test_Cases!$C$2:$C$600,A84,Test_Cases!$K$2:$K$600,"Fail",Test_Cases!$B$2:$B$600,"EXAMPLE")</f>
        <v/>
      </c>
      <c r="F84" s="25">
        <f>COUNTIFS(Test_Cases!$C$2:$C$600,A84,Test_Cases!$K$2:$K$600,"Not Run")-COUNTIFS(Test_Cases!$C$2:$C$600,A84,Test_Cases!$K$2:$K$600,"Not Run",Test_Cases!$B$2:$B$600,"EXAMPLE")</f>
        <v/>
      </c>
    </row>
    <row r="85">
      <c r="A85" s="15" t="inlineStr">
        <is>
          <t>DAST</t>
        </is>
      </c>
      <c r="B85" s="25">
        <f>INDEX(Test_Catalog!$C$2:$C$48,MATCH(A85,Test_Catalog!$A$2:$A$48,0))</f>
        <v/>
      </c>
      <c r="C85" s="25">
        <f>COUNTIF(Test_Cases!$C$2:$C$600,A85)-COUNTIFS(Test_Cases!$C$2:$C$600,A85,Test_Cases!$B$2:$B$600,"EXAMPLE")</f>
        <v/>
      </c>
      <c r="D85" s="25">
        <f>COUNTIFS(Test_Cases!$C$2:$C$600,A85,Test_Cases!$K$2:$K$600,"Pass")-COUNTIFS(Test_Cases!$C$2:$C$600,A85,Test_Cases!$K$2:$K$600,"Pass",Test_Cases!$B$2:$B$600,"EXAMPLE")</f>
        <v/>
      </c>
      <c r="E85" s="25">
        <f>COUNTIFS(Test_Cases!$C$2:$C$600,A85,Test_Cases!$K$2:$K$600,"Fail")-COUNTIFS(Test_Cases!$C$2:$C$600,A85,Test_Cases!$K$2:$K$600,"Fail",Test_Cases!$B$2:$B$600,"EXAMPLE")</f>
        <v/>
      </c>
      <c r="F85" s="25">
        <f>COUNTIFS(Test_Cases!$C$2:$C$600,A85,Test_Cases!$K$2:$K$600,"Not Run")-COUNTIFS(Test_Cases!$C$2:$C$600,A85,Test_Cases!$K$2:$K$600,"Not Run",Test_Cases!$B$2:$B$600,"EXAMPLE")</f>
        <v/>
      </c>
    </row>
    <row r="86">
      <c r="A86" s="15" t="inlineStr">
        <is>
          <t>AuthN / AuthZ &amp; tenant isolation</t>
        </is>
      </c>
      <c r="B86" s="25">
        <f>INDEX(Test_Catalog!$C$2:$C$48,MATCH(A86,Test_Catalog!$A$2:$A$48,0))</f>
        <v/>
      </c>
      <c r="C86" s="25">
        <f>COUNTIF(Test_Cases!$C$2:$C$600,A86)-COUNTIFS(Test_Cases!$C$2:$C$600,A86,Test_Cases!$B$2:$B$600,"EXAMPLE")</f>
        <v/>
      </c>
      <c r="D86" s="25">
        <f>COUNTIFS(Test_Cases!$C$2:$C$600,A86,Test_Cases!$K$2:$K$600,"Pass")-COUNTIFS(Test_Cases!$C$2:$C$600,A86,Test_Cases!$K$2:$K$600,"Pass",Test_Cases!$B$2:$B$600,"EXAMPLE")</f>
        <v/>
      </c>
      <c r="E86" s="25">
        <f>COUNTIFS(Test_Cases!$C$2:$C$600,A86,Test_Cases!$K$2:$K$600,"Fail")-COUNTIFS(Test_Cases!$C$2:$C$600,A86,Test_Cases!$K$2:$K$600,"Fail",Test_Cases!$B$2:$B$600,"EXAMPLE")</f>
        <v/>
      </c>
      <c r="F86" s="25">
        <f>COUNTIFS(Test_Cases!$C$2:$C$600,A86,Test_Cases!$K$2:$K$600,"Not Run")-COUNTIFS(Test_Cases!$C$2:$C$600,A86,Test_Cases!$K$2:$K$600,"Not Run",Test_Cases!$B$2:$B$600,"EXAMPLE")</f>
        <v/>
      </c>
    </row>
    <row r="87">
      <c r="A87" s="15" t="inlineStr">
        <is>
          <t>Penetration test (checklist)</t>
        </is>
      </c>
      <c r="B87" s="25">
        <f>INDEX(Test_Catalog!$C$2:$C$48,MATCH(A87,Test_Catalog!$A$2:$A$48,0))</f>
        <v/>
      </c>
      <c r="C87" s="25">
        <f>COUNTIF(Test_Cases!$C$2:$C$600,A87)-COUNTIFS(Test_Cases!$C$2:$C$600,A87,Test_Cases!$B$2:$B$600,"EXAMPLE")</f>
        <v/>
      </c>
      <c r="D87" s="25">
        <f>COUNTIFS(Test_Cases!$C$2:$C$600,A87,Test_Cases!$K$2:$K$600,"Pass")-COUNTIFS(Test_Cases!$C$2:$C$600,A87,Test_Cases!$K$2:$K$600,"Pass",Test_Cases!$B$2:$B$600,"EXAMPLE")</f>
        <v/>
      </c>
      <c r="E87" s="25">
        <f>COUNTIFS(Test_Cases!$C$2:$C$600,A87,Test_Cases!$K$2:$K$600,"Fail")-COUNTIFS(Test_Cases!$C$2:$C$600,A87,Test_Cases!$K$2:$K$600,"Fail",Test_Cases!$B$2:$B$600,"EXAMPLE")</f>
        <v/>
      </c>
      <c r="F87" s="25">
        <f>COUNTIFS(Test_Cases!$C$2:$C$600,A87,Test_Cases!$K$2:$K$600,"Not Run")-COUNTIFS(Test_Cases!$C$2:$C$600,A87,Test_Cases!$K$2:$K$600,"Not Run",Test_Cases!$B$2:$B$600,"EXAMPLE")</f>
        <v/>
      </c>
    </row>
    <row r="88">
      <c r="A88" s="15" t="inlineStr">
        <is>
          <t>Compliance / Audit</t>
        </is>
      </c>
      <c r="B88" s="25">
        <f>INDEX(Test_Catalog!$C$2:$C$48,MATCH(A88,Test_Catalog!$A$2:$A$48,0))</f>
        <v/>
      </c>
      <c r="C88" s="25">
        <f>COUNTIF(Test_Cases!$C$2:$C$600,A88)-COUNTIFS(Test_Cases!$C$2:$C$600,A88,Test_Cases!$B$2:$B$600,"EXAMPLE")</f>
        <v/>
      </c>
      <c r="D88" s="25">
        <f>COUNTIFS(Test_Cases!$C$2:$C$600,A88,Test_Cases!$K$2:$K$600,"Pass")-COUNTIFS(Test_Cases!$C$2:$C$600,A88,Test_Cases!$K$2:$K$600,"Pass",Test_Cases!$B$2:$B$600,"EXAMPLE")</f>
        <v/>
      </c>
      <c r="E88" s="25">
        <f>COUNTIFS(Test_Cases!$C$2:$C$600,A88,Test_Cases!$K$2:$K$600,"Fail")-COUNTIFS(Test_Cases!$C$2:$C$600,A88,Test_Cases!$K$2:$K$600,"Fail",Test_Cases!$B$2:$B$600,"EXAMPLE")</f>
        <v/>
      </c>
      <c r="F88" s="25">
        <f>COUNTIFS(Test_Cases!$C$2:$C$600,A88,Test_Cases!$K$2:$K$600,"Not Run")-COUNTIFS(Test_Cases!$C$2:$C$600,A88,Test_Cases!$K$2:$K$600,"Not Run",Test_Cases!$B$2:$B$600,"EXAMPLE")</f>
        <v/>
      </c>
    </row>
    <row r="89">
      <c r="A89" s="15" t="inlineStr">
        <is>
          <t>Observability / Alert test</t>
        </is>
      </c>
      <c r="B89" s="25">
        <f>INDEX(Test_Catalog!$C$2:$C$48,MATCH(A89,Test_Catalog!$A$2:$A$48,0))</f>
        <v/>
      </c>
      <c r="C89" s="25">
        <f>COUNTIF(Test_Cases!$C$2:$C$600,A89)-COUNTIFS(Test_Cases!$C$2:$C$600,A89,Test_Cases!$B$2:$B$600,"EXAMPLE")</f>
        <v/>
      </c>
      <c r="D89" s="25">
        <f>COUNTIFS(Test_Cases!$C$2:$C$600,A89,Test_Cases!$K$2:$K$600,"Pass")-COUNTIFS(Test_Cases!$C$2:$C$600,A89,Test_Cases!$K$2:$K$600,"Pass",Test_Cases!$B$2:$B$600,"EXAMPLE")</f>
        <v/>
      </c>
      <c r="E89" s="25">
        <f>COUNTIFS(Test_Cases!$C$2:$C$600,A89,Test_Cases!$K$2:$K$600,"Fail")-COUNTIFS(Test_Cases!$C$2:$C$600,A89,Test_Cases!$K$2:$K$600,"Fail",Test_Cases!$B$2:$B$600,"EXAMPLE")</f>
        <v/>
      </c>
      <c r="F89" s="25">
        <f>COUNTIFS(Test_Cases!$C$2:$C$600,A89,Test_Cases!$K$2:$K$600,"Not Run")-COUNTIFS(Test_Cases!$C$2:$C$600,A89,Test_Cases!$K$2:$K$600,"Not Run",Test_Cases!$B$2:$B$600,"EXAMPLE")</f>
        <v/>
      </c>
    </row>
    <row r="90">
      <c r="A90" s="15" t="inlineStr">
        <is>
          <t>Accessibility (portal)</t>
        </is>
      </c>
      <c r="B90" s="25">
        <f>INDEX(Test_Catalog!$C$2:$C$48,MATCH(A90,Test_Catalog!$A$2:$A$48,0))</f>
        <v/>
      </c>
      <c r="C90" s="25">
        <f>COUNTIF(Test_Cases!$C$2:$C$600,A90)-COUNTIFS(Test_Cases!$C$2:$C$600,A90,Test_Cases!$B$2:$B$600,"EXAMPLE")</f>
        <v/>
      </c>
      <c r="D90" s="25">
        <f>COUNTIFS(Test_Cases!$C$2:$C$600,A90,Test_Cases!$K$2:$K$600,"Pass")-COUNTIFS(Test_Cases!$C$2:$C$600,A90,Test_Cases!$K$2:$K$600,"Pass",Test_Cases!$B$2:$B$600,"EXAMPLE")</f>
        <v/>
      </c>
      <c r="E90" s="25">
        <f>COUNTIFS(Test_Cases!$C$2:$C$600,A90,Test_Cases!$K$2:$K$600,"Fail")-COUNTIFS(Test_Cases!$C$2:$C$600,A90,Test_Cases!$K$2:$K$600,"Fail",Test_Cases!$B$2:$B$600,"EXAMPLE")</f>
        <v/>
      </c>
      <c r="F90" s="25">
        <f>COUNTIFS(Test_Cases!$C$2:$C$600,A90,Test_Cases!$K$2:$K$600,"Not Run")-COUNTIFS(Test_Cases!$C$2:$C$600,A90,Test_Cases!$K$2:$K$600,"Not Run",Test_Cases!$B$2:$B$600,"EXAMPLE")</f>
        <v/>
      </c>
    </row>
    <row r="91">
      <c r="A91" s="15" t="inlineStr">
        <is>
          <t>Usability</t>
        </is>
      </c>
      <c r="B91" s="25">
        <f>INDEX(Test_Catalog!$C$2:$C$48,MATCH(A91,Test_Catalog!$A$2:$A$48,0))</f>
        <v/>
      </c>
      <c r="C91" s="25">
        <f>COUNTIF(Test_Cases!$C$2:$C$600,A91)-COUNTIFS(Test_Cases!$C$2:$C$600,A91,Test_Cases!$B$2:$B$600,"EXAMPLE")</f>
        <v/>
      </c>
      <c r="D91" s="25">
        <f>COUNTIFS(Test_Cases!$C$2:$C$600,A91,Test_Cases!$K$2:$K$600,"Pass")-COUNTIFS(Test_Cases!$C$2:$C$600,A91,Test_Cases!$K$2:$K$600,"Pass",Test_Cases!$B$2:$B$600,"EXAMPLE")</f>
        <v/>
      </c>
      <c r="E91" s="25">
        <f>COUNTIFS(Test_Cases!$C$2:$C$600,A91,Test_Cases!$K$2:$K$600,"Fail")-COUNTIFS(Test_Cases!$C$2:$C$600,A91,Test_Cases!$K$2:$K$600,"Fail",Test_Cases!$B$2:$B$600,"EXAMPLE")</f>
        <v/>
      </c>
      <c r="F91" s="25">
        <f>COUNTIFS(Test_Cases!$C$2:$C$600,A91,Test_Cases!$K$2:$K$600,"Not Run")-COUNTIFS(Test_Cases!$C$2:$C$600,A91,Test_Cases!$K$2:$K$600,"Not Run",Test_Cases!$B$2:$B$600,"EXAMPLE")</f>
        <v/>
      </c>
    </row>
    <row r="92">
      <c r="A92" s="15" t="inlineStr">
        <is>
          <t>ML / LLM quality evaluation</t>
        </is>
      </c>
      <c r="B92" s="25">
        <f>INDEX(Test_Catalog!$C$2:$C$48,MATCH(A92,Test_Catalog!$A$2:$A$48,0))</f>
        <v/>
      </c>
      <c r="C92" s="25">
        <f>COUNTIF(Test_Cases!$C$2:$C$600,A92)-COUNTIFS(Test_Cases!$C$2:$C$600,A92,Test_Cases!$B$2:$B$600,"EXAMPLE")</f>
        <v/>
      </c>
      <c r="D92" s="25">
        <f>COUNTIFS(Test_Cases!$C$2:$C$600,A92,Test_Cases!$K$2:$K$600,"Pass")-COUNTIFS(Test_Cases!$C$2:$C$600,A92,Test_Cases!$K$2:$K$600,"Pass",Test_Cases!$B$2:$B$600,"EXAMPLE")</f>
        <v/>
      </c>
      <c r="E92" s="25">
        <f>COUNTIFS(Test_Cases!$C$2:$C$600,A92,Test_Cases!$K$2:$K$600,"Fail")-COUNTIFS(Test_Cases!$C$2:$C$600,A92,Test_Cases!$K$2:$K$600,"Fail",Test_Cases!$B$2:$B$600,"EXAMPLE")</f>
        <v/>
      </c>
      <c r="F92" s="25">
        <f>COUNTIFS(Test_Cases!$C$2:$C$600,A92,Test_Cases!$K$2:$K$600,"Not Run")-COUNTIFS(Test_Cases!$C$2:$C$600,A92,Test_Cases!$K$2:$K$600,"Not Run",Test_Cases!$B$2:$B$600,"EXAMPLE")</f>
        <v/>
      </c>
    </row>
    <row r="93">
      <c r="A93" s="10" t="inlineStr">
        <is>
          <t>Amber = no test case of this type yet. Some types (load, chaos, coverage) are tracked on their own sheets instead.</t>
        </is>
      </c>
    </row>
  </sheetData>
  <mergeCells count="1">
    <mergeCell ref="A42:D42"/>
  </mergeCells>
  <conditionalFormatting sqref="B40:D40">
    <cfRule type="expression" priority="1" dxfId="0">
      <formula>OR(B40="READY TO SHIP",B40="ALL READY")</formula>
    </cfRule>
    <cfRule type="expression" priority="2" dxfId="1">
      <formula>B40="NOT READY"</formula>
    </cfRule>
  </conditionalFormatting>
  <conditionalFormatting sqref="B14:D14">
    <cfRule type="dataBar" priority="3">
      <dataBar>
        <cfvo type="num" val="0"/>
        <cfvo type="num" val="1"/>
        <color rgb="005B9BD5"/>
      </dataBar>
    </cfRule>
  </conditionalFormatting>
  <conditionalFormatting sqref="B22:D22">
    <cfRule type="dataBar" priority="4">
      <dataBar>
        <cfvo type="num" val="0"/>
        <cfvo type="num" val="1"/>
        <color rgb="005B9BD5"/>
      </dataBar>
    </cfRule>
  </conditionalFormatting>
  <conditionalFormatting sqref="B23:D23">
    <cfRule type="dataBar" priority="5">
      <dataBar>
        <cfvo type="num" val="0"/>
        <cfvo type="num" val="1"/>
        <color rgb="005B9BD5"/>
      </dataBar>
    </cfRule>
  </conditionalFormatting>
  <conditionalFormatting sqref="B24:D24">
    <cfRule type="dataBar" priority="6">
      <dataBar>
        <cfvo type="num" val="0"/>
        <cfvo type="num" val="1"/>
        <color rgb="005B9BD5"/>
      </dataBar>
    </cfRule>
  </conditionalFormatting>
  <conditionalFormatting sqref="B19:D19">
    <cfRule type="cellIs" priority="7" operator="greaterThan" dxfId="2">
      <formula>0</formula>
    </cfRule>
  </conditionalFormatting>
  <conditionalFormatting sqref="B29:D29">
    <cfRule type="cellIs" priority="8" operator="greaterThan" dxfId="2">
      <formula>0</formula>
    </cfRule>
  </conditionalFormatting>
  <conditionalFormatting sqref="B39:D39">
    <cfRule type="cellIs" priority="9" operator="greaterThan" dxfId="2">
      <formula>0</formula>
    </cfRule>
  </conditionalFormatting>
  <conditionalFormatting sqref="B10:D10">
    <cfRule type="cellIs" priority="10" operator="greaterThan" dxfId="2">
      <formula>0</formula>
    </cfRule>
  </conditionalFormatting>
  <conditionalFormatting sqref="B11:D11">
    <cfRule type="cellIs" priority="11" operator="greaterThan" dxfId="2">
      <formula>0</formula>
    </cfRule>
  </conditionalFormatting>
  <conditionalFormatting sqref="C46:C92">
    <cfRule type="cellIs" priority="1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R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50" customWidth="1" min="4" max="4"/>
    <col width="42" customWidth="1" min="5" max="5"/>
    <col width="8" customWidth="1" min="6" max="6"/>
    <col width="9" customWidth="1" min="7" max="7"/>
    <col width="8" customWidth="1" min="8" max="8"/>
    <col width="12" customWidth="1" min="9" max="9"/>
    <col width="12" customWidth="1" min="10" max="10"/>
    <col width="13" customWidth="1" min="11" max="11"/>
    <col width="11" customWidth="1" min="12" max="12"/>
    <col width="10" customWidth="1" min="13" max="13"/>
    <col width="9" customWidth="1" min="14" max="14"/>
    <col width="12" customWidth="1" min="15" max="15"/>
    <col width="12" customWidth="1" min="16" max="16"/>
    <col width="30" customWidth="1" min="17" max="17"/>
    <col width="25" customWidth="1" min="18" max="18"/>
  </cols>
  <sheetData>
    <row r="1" ht="32" customHeight="1">
      <c r="A1" s="11" t="inlineStr">
        <is>
          <t>Task ID</t>
        </is>
      </c>
      <c r="B1" s="11" t="inlineStr">
        <is>
          <t>Track</t>
        </is>
      </c>
      <c r="C1" s="11" t="inlineStr">
        <is>
          <t>Phase</t>
        </is>
      </c>
      <c r="D1" s="11" t="inlineStr">
        <is>
          <t>Task</t>
        </is>
      </c>
      <c r="E1" s="11" t="inlineStr">
        <is>
          <t>Definition of Done</t>
        </is>
      </c>
      <c r="F1" s="11" t="inlineStr">
        <is>
          <t>Priority</t>
        </is>
      </c>
      <c r="G1" s="11" t="inlineStr">
        <is>
          <t>Est. Hours</t>
        </is>
      </c>
      <c r="H1" s="11" t="inlineStr">
        <is>
          <t>Week #</t>
        </is>
      </c>
      <c r="I1" s="11" t="inlineStr">
        <is>
          <t>Planned Start</t>
        </is>
      </c>
      <c r="J1" s="11" t="inlineStr">
        <is>
          <t>Planned End</t>
        </is>
      </c>
      <c r="K1" s="11" t="inlineStr">
        <is>
          <t>Status</t>
        </is>
      </c>
      <c r="L1" s="11" t="inlineStr">
        <is>
          <t>% Complete (input)</t>
        </is>
      </c>
      <c r="M1" s="11" t="inlineStr">
        <is>
          <t>Effective %</t>
        </is>
      </c>
      <c r="N1" s="11" t="inlineStr">
        <is>
          <t>Actual Hours</t>
        </is>
      </c>
      <c r="O1" s="11" t="inlineStr">
        <is>
          <t>Done Date</t>
        </is>
      </c>
      <c r="P1" s="11" t="inlineStr">
        <is>
          <t>Schedule Flag</t>
        </is>
      </c>
      <c r="Q1" s="11" t="inlineStr">
        <is>
          <t>Evidence / PR Link</t>
        </is>
      </c>
      <c r="R1" s="11" t="inlineStr">
        <is>
          <t>Notes</t>
        </is>
      </c>
    </row>
    <row r="2">
      <c r="A2" s="26" t="inlineStr">
        <is>
          <t>EX-001</t>
        </is>
      </c>
      <c r="B2" s="26" t="inlineStr">
        <is>
          <t>EXAMPLE</t>
        </is>
      </c>
      <c r="C2" s="26" t="inlineStr">
        <is>
          <t>Core</t>
        </is>
      </c>
      <c r="D2" s="26" t="inlineStr">
        <is>
          <t>Example: idempotency middleware</t>
        </is>
      </c>
      <c r="E2" s="26" t="inlineStr">
        <is>
          <t>Duplicate POST returns stored response</t>
        </is>
      </c>
      <c r="F2" s="26" t="inlineStr">
        <is>
          <t>P0</t>
        </is>
      </c>
      <c r="G2" s="26" t="n">
        <v>8</v>
      </c>
      <c r="H2" s="26" t="n"/>
      <c r="I2" s="27">
        <f>IF(H2="","",README!$C$6+(H2-1)*7)</f>
        <v/>
      </c>
      <c r="J2" s="27">
        <f>IF(H2="","",README!$C$6+(H2-1)*7+4)</f>
        <v/>
      </c>
      <c r="K2" s="26" t="inlineStr">
        <is>
          <t>Done</t>
        </is>
      </c>
      <c r="L2" s="28" t="n">
        <v>1</v>
      </c>
      <c r="M2" s="28">
        <f>IF(K2="Done",1,IF(L2="",0,MIN(1,L2)))</f>
        <v/>
      </c>
      <c r="N2" s="26" t="n">
        <v>9</v>
      </c>
      <c r="O2" s="27" t="n">
        <v>46332</v>
      </c>
      <c r="P2" s="26">
        <f>IF(K2="Done",IF(O2="","Done",IF(J2="","Done",IF(O2&lt;=J2,"On time","Late"))),IF(K2="Blocked","BLOCKED",IF(I2="","",IF(TODAY()&gt;J2,"OVERDUE",IF(TODAY()&gt;=I2,"Active","Upcoming")))))</f>
        <v/>
      </c>
      <c r="Q2" s="26" t="inlineStr">
        <is>
          <t>https://github.com/you/repo/pull/42</t>
        </is>
      </c>
      <c r="R2" s="26" t="inlineStr">
        <is>
          <t>Example row — format only</t>
        </is>
      </c>
    </row>
    <row r="3">
      <c r="A3" s="29" t="inlineStr">
        <is>
          <t>MB-T01</t>
        </is>
      </c>
      <c r="B3" s="29" t="inlineStr">
        <is>
          <t>Platform</t>
        </is>
      </c>
      <c r="C3" s="29" t="inlineStr">
        <is>
          <t>Design</t>
        </is>
      </c>
      <c r="D3" s="29" t="inlineStr">
        <is>
          <t>Repo layout, coding standards, ADR template, design-doc template</t>
        </is>
      </c>
      <c r="E3" s="29" t="inlineStr">
        <is>
          <t>Repo created; ADR-000 merged; templates in /docs</t>
        </is>
      </c>
      <c r="F3" s="29" t="inlineStr">
        <is>
          <t>P1</t>
        </is>
      </c>
      <c r="G3" s="29" t="n">
        <v>6</v>
      </c>
      <c r="H3" s="29" t="n">
        <v>1</v>
      </c>
      <c r="I3" s="30">
        <f>IF(H3="","",README!$C$6+(H3-1)*7)</f>
        <v/>
      </c>
      <c r="J3" s="30">
        <f>IF(H3="","",README!$C$6+(H3-1)*7+4)</f>
        <v/>
      </c>
      <c r="K3" s="31" t="inlineStr">
        <is>
          <t>Done</t>
        </is>
      </c>
      <c r="L3" s="32" t="n">
        <v>1</v>
      </c>
      <c r="M3" s="33">
        <f>IF(K3="Done",1,IF(L3="",0,MIN(1,L3)))</f>
        <v/>
      </c>
      <c r="N3" s="31" t="n"/>
      <c r="O3" s="34" t="n">
        <v>46318</v>
      </c>
      <c r="P3" s="29">
        <f>IF(K3="Done",IF(O3="","Done",IF(J3="","Done",IF(O3&lt;=J3,"On time","Late"))),IF(K3="Blocked","BLOCKED",IF(I3="","",IF(TODAY()&gt;J3,"OVERDUE",IF(TODAY()&gt;=I3,"Active","Upcoming")))))</f>
        <v/>
      </c>
      <c r="Q3" s="31" t="inlineStr">
        <is>
          <t>commit 19024d4 (branch foundation)</t>
        </is>
      </c>
      <c r="R3" s="31" t="inlineStr">
        <is>
          <t>Engineering rules, README, CONTRIBUTING, ADR-0000/0001, design + runbook templates, coding/testing/API/git standards</t>
        </is>
      </c>
    </row>
    <row r="4">
      <c r="A4" s="29" t="inlineStr">
        <is>
          <t>MB-T02</t>
        </is>
      </c>
      <c r="B4" s="29" t="inlineStr">
        <is>
          <t>Platform</t>
        </is>
      </c>
      <c r="C4" s="29" t="inlineStr">
        <is>
          <t>Design</t>
        </is>
      </c>
      <c r="D4" s="29" t="inlineStr">
        <is>
          <t>SLO document template and error-budget policy</t>
        </is>
      </c>
      <c r="E4" s="29" t="inlineStr">
        <is>
          <t>SLO template approved; policy says what happens when budget is spent</t>
        </is>
      </c>
      <c r="F4" s="29" t="inlineStr">
        <is>
          <t>P1</t>
        </is>
      </c>
      <c r="G4" s="29" t="n">
        <v>4</v>
      </c>
      <c r="H4" s="29" t="n">
        <v>1</v>
      </c>
      <c r="I4" s="30">
        <f>IF(H4="","",README!$C$6+(H4-1)*7)</f>
        <v/>
      </c>
      <c r="J4" s="30">
        <f>IF(H4="","",README!$C$6+(H4-1)*7+4)</f>
        <v/>
      </c>
      <c r="K4" s="31" t="inlineStr">
        <is>
          <t>Done</t>
        </is>
      </c>
      <c r="L4" s="32" t="n">
        <v>1</v>
      </c>
      <c r="M4" s="33">
        <f>IF(K4="Done",1,IF(L4="",0,MIN(1,L4)))</f>
        <v/>
      </c>
      <c r="N4" s="31" t="n"/>
      <c r="O4" s="34" t="n">
        <v>46318</v>
      </c>
      <c r="P4" s="29">
        <f>IF(K4="Done",IF(O4="","Done",IF(J4="","Done",IF(O4&lt;=J4,"On time","Late"))),IF(K4="Blocked","BLOCKED",IF(I4="","",IF(TODAY()&gt;J4,"OVERDUE",IF(TODAY()&gt;=I4,"Active","Upcoming")))))</f>
        <v/>
      </c>
      <c r="Q4" s="31" t="inlineStr">
        <is>
          <t>commit 19024d4 (branch foundation)</t>
        </is>
      </c>
      <c r="R4" s="31" t="inlineStr">
        <is>
          <t>docs/slo/template.md (burn-rate alerting) + docs/slo/error-budget-policy.md</t>
        </is>
      </c>
    </row>
    <row r="5">
      <c r="A5" s="29" t="inlineStr">
        <is>
          <t>MB-T03</t>
        </is>
      </c>
      <c r="B5" s="29" t="inlineStr">
        <is>
          <t>Platform</t>
        </is>
      </c>
      <c r="C5" s="29" t="inlineStr">
        <is>
          <t>Infra</t>
        </is>
      </c>
      <c r="D5" s="29" t="inlineStr">
        <is>
          <t>Terraform AWS baseline: VPC, EKS, RDS, S3, IAM, remote state with locking</t>
        </is>
      </c>
      <c r="E5" s="29" t="inlineStr">
        <is>
          <t>terraform plan/apply green from CI; state in S3 with native locking (ADR-0002)</t>
        </is>
      </c>
      <c r="F5" s="29" t="inlineStr">
        <is>
          <t>P0</t>
        </is>
      </c>
      <c r="G5" s="29" t="n">
        <v>16</v>
      </c>
      <c r="H5" s="29" t="n">
        <v>1</v>
      </c>
      <c r="I5" s="30">
        <f>IF(H5="","",README!$C$6+(H5-1)*7)</f>
        <v/>
      </c>
      <c r="J5" s="30">
        <f>IF(H5="","",README!$C$6+(H5-1)*7+4)</f>
        <v/>
      </c>
      <c r="K5" s="31" t="inlineStr">
        <is>
          <t>In Progress</t>
        </is>
      </c>
      <c r="L5" s="32" t="n">
        <v>0.85</v>
      </c>
      <c r="M5" s="33">
        <f>IF(K5="Done",1,IF(L5="",0,MIN(1,L5)))</f>
        <v/>
      </c>
      <c r="N5" s="31" t="n"/>
      <c r="O5" s="34" t="n"/>
      <c r="P5" s="29">
        <f>IF(K5="Done",IF(O5="","Done",IF(J5="","Done",IF(O5&lt;=J5,"On time","Late"))),IF(K5="Blocked","BLOCKED",IF(I5="","",IF(TODAY()&gt;J5,"OVERDUE",IF(TODAY()&gt;=I5,"Active","Upcoming")))))</f>
        <v/>
      </c>
      <c r="Q5" s="31" t="inlineStr">
        <is>
          <t>https://github.com/mhrj7/meterbook/pull/7</t>
        </is>
      </c>
      <c r="R5" s="31" t="inlineStr">
        <is>
          <t>In AWS (eu-north-1): GitHub OIDC provider and meterbook-terraform-apply role created; trust fixed to GitHub's immutable OIDC subjects after the first bootstrap run was rejected. GitHub environments dev/production limited to main. Stack merged to main (PRs #1-#6). Remaining: bootstrap run green (state bucket, plan role), then dev apply-verify-destroy once AWS finishes verifying the new account.</t>
        </is>
      </c>
    </row>
    <row r="6">
      <c r="A6" s="29" t="inlineStr">
        <is>
          <t>MB-T04</t>
        </is>
      </c>
      <c r="B6" s="29" t="inlineStr">
        <is>
          <t>Platform</t>
        </is>
      </c>
      <c r="C6" s="29" t="inlineStr">
        <is>
          <t>Infra</t>
        </is>
      </c>
      <c r="D6" s="29" t="inlineStr">
        <is>
          <t>Secrets management: Vault or AWS Secrets Manager + External Secrets Operator</t>
        </is>
      </c>
      <c r="E6" s="29" t="inlineStr">
        <is>
          <t>No secrets in git (gitleaks passes); pods read secrets at runtime</t>
        </is>
      </c>
      <c r="F6" s="29" t="inlineStr">
        <is>
          <t>P0</t>
        </is>
      </c>
      <c r="G6" s="29" t="n">
        <v>6</v>
      </c>
      <c r="H6" s="29" t="n">
        <v>2</v>
      </c>
      <c r="I6" s="30">
        <f>IF(H6="","",README!$C$6+(H6-1)*7)</f>
        <v/>
      </c>
      <c r="J6" s="30">
        <f>IF(H6="","",README!$C$6+(H6-1)*7+4)</f>
        <v/>
      </c>
      <c r="K6" s="31" t="inlineStr">
        <is>
          <t>In Progress</t>
        </is>
      </c>
      <c r="L6" s="32" t="n">
        <v>0.9</v>
      </c>
      <c r="M6" s="33">
        <f>IF(K6="Done",1,IF(L6="",0,MIN(1,L6)))</f>
        <v/>
      </c>
      <c r="N6" s="31" t="n"/>
      <c r="O6" s="34" t="n"/>
      <c r="P6" s="29">
        <f>IF(K6="Done",IF(O6="","Done",IF(J6="","Done",IF(O6&lt;=J6,"On time","Late"))),IF(K6="Blocked","BLOCKED",IF(I6="","",IF(TODAY()&gt;J6,"OVERDUE",IF(TODAY()&gt;=I6,"Active","Upcoming")))))</f>
        <v/>
      </c>
      <c r="Q6" s="31" t="inlineStr">
        <is>
          <t>https://github.com/mhrj7/meterbook/actions/runs/39912053895</t>
        </is>
      </c>
      <c r="R6" s="31" t="inlineStr">
        <is>
          <t>Green CI incl. kind end-to-end (4/4: delivery, runtime read by a pod, rotation in 3s, namespace isolation) after fixing a false-green CI step and a moto crash. Remaining: verify on real AWS (secrets, ESO role, Pod Identity) once the AWS account finishes verification and dev is applied.</t>
        </is>
      </c>
    </row>
    <row r="7">
      <c r="A7" s="29" t="inlineStr">
        <is>
          <t>MB-T05</t>
        </is>
      </c>
      <c r="B7" s="29" t="inlineStr">
        <is>
          <t>Platform</t>
        </is>
      </c>
      <c r="C7" s="29" t="inlineStr">
        <is>
          <t>CI/CD</t>
        </is>
      </c>
      <c r="D7" s="29" t="inlineStr">
        <is>
          <t>GitHub Actions: lint, test, build, SBOM (Syft), image scan (Trivy), cosign signing</t>
        </is>
      </c>
      <c r="E7" s="29" t="inlineStr">
        <is>
          <t>Pipeline &lt; 10 min; fails on critical CVE</t>
        </is>
      </c>
      <c r="F7" s="29" t="inlineStr">
        <is>
          <t>P0</t>
        </is>
      </c>
      <c r="G7" s="29" t="n">
        <v>12</v>
      </c>
      <c r="H7" s="29" t="n">
        <v>2</v>
      </c>
      <c r="I7" s="30">
        <f>IF(H7="","",README!$C$6+(H7-1)*7)</f>
        <v/>
      </c>
      <c r="J7" s="30">
        <f>IF(H7="","",README!$C$6+(H7-1)*7+4)</f>
        <v/>
      </c>
      <c r="K7" s="31" t="inlineStr">
        <is>
          <t>In Progress</t>
        </is>
      </c>
      <c r="L7" s="32" t="n">
        <v>0.85</v>
      </c>
      <c r="M7" s="33">
        <f>IF(K7="Done",1,IF(L7="",0,MIN(1,L7)))</f>
        <v/>
      </c>
      <c r="N7" s="31" t="n"/>
      <c r="O7" s="34" t="n"/>
      <c r="P7" s="29">
        <f>IF(K7="Done",IF(O7="","Done",IF(J7="","Done",IF(O7&lt;=J7,"On time","Late"))),IF(K7="Blocked","BLOCKED",IF(I7="","",IF(TODAY()&gt;J7,"OVERDUE",IF(TODAY()&gt;=I7,"Active","Upcoming")))))</f>
        <v/>
      </c>
      <c r="Q7" s="31" t="inlineStr">
        <is>
          <t>https://github.com/mhrj7/meterbook/actions/runs/39905115436</t>
        </is>
      </c>
      <c r="R7" s="31" t="inlineStr">
        <is>
          <t>Green CI run on PR #3: 3.3 min wall clock (Terraform job 3.0 min). Done: ci.yml (Terraform fmt/validate/test/tflint/trivy, Gitleaks, actionlint, single ci check), reusable container.yml (Trivy CRITICAL gate, SBOM, cosign), Terraform plan/apply via OIDC, SHA-pinned actions, Dependabot, ADR-0003. Remaining: CRITICAL-CVE gate exercised by the first service image (MB-T07).</t>
        </is>
      </c>
    </row>
    <row r="8">
      <c r="A8" s="29" t="inlineStr">
        <is>
          <t>MB-T06</t>
        </is>
      </c>
      <c r="B8" s="29" t="inlineStr">
        <is>
          <t>Platform</t>
        </is>
      </c>
      <c r="C8" s="29" t="inlineStr">
        <is>
          <t>CI/CD</t>
        </is>
      </c>
      <c r="D8" s="29" t="inlineStr">
        <is>
          <t>Helm chart library + ArgoCD GitOps (dev / staging / prod)</t>
        </is>
      </c>
      <c r="E8" s="29" t="inlineStr">
        <is>
          <t>Merge to main auto-syncs staging; prod via promotion PR</t>
        </is>
      </c>
      <c r="F8" s="29" t="inlineStr">
        <is>
          <t>P0</t>
        </is>
      </c>
      <c r="G8" s="29" t="n">
        <v>12</v>
      </c>
      <c r="H8" s="29" t="n">
        <v>2</v>
      </c>
      <c r="I8" s="30">
        <f>IF(H8="","",README!$C$6+(H8-1)*7)</f>
        <v/>
      </c>
      <c r="J8" s="30">
        <f>IF(H8="","",README!$C$6+(H8-1)*7+4)</f>
        <v/>
      </c>
      <c r="K8" s="31" t="inlineStr">
        <is>
          <t>Not Started</t>
        </is>
      </c>
      <c r="L8" s="32" t="n"/>
      <c r="M8" s="33">
        <f>IF(K8="Done",1,IF(L8="",0,MIN(1,L8)))</f>
        <v/>
      </c>
      <c r="N8" s="31" t="n"/>
      <c r="O8" s="34" t="n"/>
      <c r="P8" s="29">
        <f>IF(K8="Done",IF(O8="","Done",IF(J8="","Done",IF(O8&lt;=J8,"On time","Late"))),IF(K8="Blocked","BLOCKED",IF(I8="","",IF(TODAY()&gt;J8,"OVERDUE",IF(TODAY()&gt;=I8,"Active","Upcoming")))))</f>
        <v/>
      </c>
      <c r="Q8" s="31" t="n"/>
      <c r="R8" s="31" t="n"/>
    </row>
    <row r="9">
      <c r="A9" s="29" t="inlineStr">
        <is>
          <t>MB-T07</t>
        </is>
      </c>
      <c r="B9" s="29" t="inlineStr">
        <is>
          <t>Platform</t>
        </is>
      </c>
      <c r="C9" s="29" t="inlineStr">
        <is>
          <t>Identity</t>
        </is>
      </c>
      <c r="D9" s="29" t="inlineStr">
        <is>
          <t>OIDC login (Keycloak/Zitadel), SAML SSO, SCIM provisioning</t>
        </is>
      </c>
      <c r="E9" s="29" t="inlineStr">
        <is>
          <t>SSO e2e test passes with a test IdP</t>
        </is>
      </c>
      <c r="F9" s="29" t="inlineStr">
        <is>
          <t>P0</t>
        </is>
      </c>
      <c r="G9" s="29" t="n">
        <v>20</v>
      </c>
      <c r="H9" s="29" t="n">
        <v>3</v>
      </c>
      <c r="I9" s="30">
        <f>IF(H9="","",README!$C$6+(H9-1)*7)</f>
        <v/>
      </c>
      <c r="J9" s="30">
        <f>IF(H9="","",README!$C$6+(H9-1)*7+4)</f>
        <v/>
      </c>
      <c r="K9" s="31" t="inlineStr">
        <is>
          <t>Not Started</t>
        </is>
      </c>
      <c r="L9" s="32" t="n"/>
      <c r="M9" s="33">
        <f>IF(K9="Done",1,IF(L9="",0,MIN(1,L9)))</f>
        <v/>
      </c>
      <c r="N9" s="31" t="n"/>
      <c r="O9" s="34" t="n"/>
      <c r="P9" s="29">
        <f>IF(K9="Done",IF(O9="","Done",IF(J9="","Done",IF(O9&lt;=J9,"On time","Late"))),IF(K9="Blocked","BLOCKED",IF(I9="","",IF(TODAY()&gt;J9,"OVERDUE",IF(TODAY()&gt;=I9,"Active","Upcoming")))))</f>
        <v/>
      </c>
      <c r="Q9" s="31" t="n"/>
      <c r="R9" s="31" t="n"/>
    </row>
    <row r="10">
      <c r="A10" s="29" t="inlineStr">
        <is>
          <t>MB-T08</t>
        </is>
      </c>
      <c r="B10" s="29" t="inlineStr">
        <is>
          <t>Platform</t>
        </is>
      </c>
      <c r="C10" s="29" t="inlineStr">
        <is>
          <t>Tenancy</t>
        </is>
      </c>
      <c r="D10" s="29" t="inlineStr">
        <is>
          <t>Tenant model org &gt; project &gt; env; Postgres row-level security</t>
        </is>
      </c>
      <c r="E10" s="29" t="inlineStr">
        <is>
          <t>Cross-tenant access test fails closed</t>
        </is>
      </c>
      <c r="F10" s="29" t="inlineStr">
        <is>
          <t>P0</t>
        </is>
      </c>
      <c r="G10" s="29" t="n">
        <v>12</v>
      </c>
      <c r="H10" s="29" t="n">
        <v>3</v>
      </c>
      <c r="I10" s="30">
        <f>IF(H10="","",README!$C$6+(H10-1)*7)</f>
        <v/>
      </c>
      <c r="J10" s="30">
        <f>IF(H10="","",README!$C$6+(H10-1)*7+4)</f>
        <v/>
      </c>
      <c r="K10" s="31" t="inlineStr">
        <is>
          <t>Not Started</t>
        </is>
      </c>
      <c r="L10" s="32" t="n"/>
      <c r="M10" s="33">
        <f>IF(K10="Done",1,IF(L10="",0,MIN(1,L10)))</f>
        <v/>
      </c>
      <c r="N10" s="31" t="n"/>
      <c r="O10" s="34" t="n"/>
      <c r="P10" s="29">
        <f>IF(K10="Done",IF(O10="","Done",IF(J10="","Done",IF(O10&lt;=J10,"On time","Late"))),IF(K10="Blocked","BLOCKED",IF(I10="","",IF(TODAY()&gt;J10,"OVERDUE",IF(TODAY()&gt;=I10,"Active","Upcoming")))))</f>
        <v/>
      </c>
      <c r="Q10" s="31" t="n"/>
      <c r="R10" s="31" t="n"/>
    </row>
    <row r="11">
      <c r="A11" s="29" t="inlineStr">
        <is>
          <t>MB-T09</t>
        </is>
      </c>
      <c r="B11" s="29" t="inlineStr">
        <is>
          <t>Platform</t>
        </is>
      </c>
      <c r="C11" s="29" t="inlineStr">
        <is>
          <t>Security</t>
        </is>
      </c>
      <c r="D11" s="29" t="inlineStr">
        <is>
          <t>Scoped, hashed API keys with rotation and revocation</t>
        </is>
      </c>
      <c r="E11" s="29" t="inlineStr">
        <is>
          <t>Revoked key rejected within 60 s</t>
        </is>
      </c>
      <c r="F11" s="29" t="inlineStr">
        <is>
          <t>P0</t>
        </is>
      </c>
      <c r="G11" s="29" t="n">
        <v>8</v>
      </c>
      <c r="H11" s="29" t="n">
        <v>3</v>
      </c>
      <c r="I11" s="30">
        <f>IF(H11="","",README!$C$6+(H11-1)*7)</f>
        <v/>
      </c>
      <c r="J11" s="30">
        <f>IF(H11="","",README!$C$6+(H11-1)*7+4)</f>
        <v/>
      </c>
      <c r="K11" s="31" t="inlineStr">
        <is>
          <t>Not Started</t>
        </is>
      </c>
      <c r="L11" s="32" t="n"/>
      <c r="M11" s="33">
        <f>IF(K11="Done",1,IF(L11="",0,MIN(1,L11)))</f>
        <v/>
      </c>
      <c r="N11" s="31" t="n"/>
      <c r="O11" s="34" t="n"/>
      <c r="P11" s="29">
        <f>IF(K11="Done",IF(O11="","Done",IF(J11="","Done",IF(O11&lt;=J11,"On time","Late"))),IF(K11="Blocked","BLOCKED",IF(I11="","",IF(TODAY()&gt;J11,"OVERDUE",IF(TODAY()&gt;=I11,"Active","Upcoming")))))</f>
        <v/>
      </c>
      <c r="Q11" s="31" t="n"/>
      <c r="R11" s="31" t="n"/>
    </row>
    <row r="12">
      <c r="A12" s="29" t="inlineStr">
        <is>
          <t>MB-T10</t>
        </is>
      </c>
      <c r="B12" s="29" t="inlineStr">
        <is>
          <t>Platform</t>
        </is>
      </c>
      <c r="C12" s="29" t="inlineStr">
        <is>
          <t>Security</t>
        </is>
      </c>
      <c r="D12" s="29" t="inlineStr">
        <is>
          <t>Service mesh mTLS (Linkerd or Istio)</t>
        </is>
      </c>
      <c r="E12" s="29" t="inlineStr">
        <is>
          <t>Plaintext pod-to-pod traffic rejected</t>
        </is>
      </c>
      <c r="F12" s="29" t="inlineStr">
        <is>
          <t>P1</t>
        </is>
      </c>
      <c r="G12" s="29" t="n">
        <v>8</v>
      </c>
      <c r="H12" s="29" t="n">
        <v>4</v>
      </c>
      <c r="I12" s="30">
        <f>IF(H12="","",README!$C$6+(H12-1)*7)</f>
        <v/>
      </c>
      <c r="J12" s="30">
        <f>IF(H12="","",README!$C$6+(H12-1)*7+4)</f>
        <v/>
      </c>
      <c r="K12" s="31" t="inlineStr">
        <is>
          <t>Not Started</t>
        </is>
      </c>
      <c r="L12" s="32" t="n"/>
      <c r="M12" s="33">
        <f>IF(K12="Done",1,IF(L12="",0,MIN(1,L12)))</f>
        <v/>
      </c>
      <c r="N12" s="31" t="n"/>
      <c r="O12" s="34" t="n"/>
      <c r="P12" s="29">
        <f>IF(K12="Done",IF(O12="","Done",IF(J12="","Done",IF(O12&lt;=J12,"On time","Late"))),IF(K12="Blocked","BLOCKED",IF(I12="","",IF(TODAY()&gt;J12,"OVERDUE",IF(TODAY()&gt;=I12,"Active","Upcoming")))))</f>
        <v/>
      </c>
      <c r="Q12" s="31" t="n"/>
      <c r="R12" s="31" t="n"/>
    </row>
    <row r="13">
      <c r="A13" s="29" t="inlineStr">
        <is>
          <t>MB-T11</t>
        </is>
      </c>
      <c r="B13" s="29" t="inlineStr">
        <is>
          <t>Platform</t>
        </is>
      </c>
      <c r="C13" s="29" t="inlineStr">
        <is>
          <t>SaaS</t>
        </is>
      </c>
      <c r="D13" s="29" t="inlineStr">
        <is>
          <t>RBAC + customer-facing audit log service</t>
        </is>
      </c>
      <c r="E13" s="29" t="inlineStr">
        <is>
          <t>Every mutating endpoint emits an audit event</t>
        </is>
      </c>
      <c r="F13" s="29" t="inlineStr">
        <is>
          <t>P0</t>
        </is>
      </c>
      <c r="G13" s="29" t="n">
        <v>12</v>
      </c>
      <c r="H13" s="29" t="n">
        <v>4</v>
      </c>
      <c r="I13" s="30">
        <f>IF(H13="","",README!$C$6+(H13-1)*7)</f>
        <v/>
      </c>
      <c r="J13" s="30">
        <f>IF(H13="","",README!$C$6+(H13-1)*7+4)</f>
        <v/>
      </c>
      <c r="K13" s="31" t="inlineStr">
        <is>
          <t>Not Started</t>
        </is>
      </c>
      <c r="L13" s="32" t="n"/>
      <c r="M13" s="33">
        <f>IF(K13="Done",1,IF(L13="",0,MIN(1,L13)))</f>
        <v/>
      </c>
      <c r="N13" s="31" t="n"/>
      <c r="O13" s="34" t="n"/>
      <c r="P13" s="29">
        <f>IF(K13="Done",IF(O13="","Done",IF(J13="","Done",IF(O13&lt;=J13,"On time","Late"))),IF(K13="Blocked","BLOCKED",IF(I13="","",IF(TODAY()&gt;J13,"OVERDUE",IF(TODAY()&gt;=I13,"Active","Upcoming")))))</f>
        <v/>
      </c>
      <c r="Q13" s="31" t="n"/>
      <c r="R13" s="31" t="n"/>
    </row>
    <row r="14">
      <c r="A14" s="29" t="inlineStr">
        <is>
          <t>MB-T12</t>
        </is>
      </c>
      <c r="B14" s="29" t="inlineStr">
        <is>
          <t>Platform</t>
        </is>
      </c>
      <c r="C14" s="29" t="inlineStr">
        <is>
          <t>SaaS</t>
        </is>
      </c>
      <c r="D14" s="29" t="inlineStr">
        <is>
          <t>Per-tenant rate limiting and quotas</t>
        </is>
      </c>
      <c r="E14" s="29" t="inlineStr">
        <is>
          <t>429 with Retry-After; quota visible in admin</t>
        </is>
      </c>
      <c r="F14" s="29" t="inlineStr">
        <is>
          <t>P0</t>
        </is>
      </c>
      <c r="G14" s="29" t="n">
        <v>8</v>
      </c>
      <c r="H14" s="29" t="n">
        <v>4</v>
      </c>
      <c r="I14" s="30">
        <f>IF(H14="","",README!$C$6+(H14-1)*7)</f>
        <v/>
      </c>
      <c r="J14" s="30">
        <f>IF(H14="","",README!$C$6+(H14-1)*7+4)</f>
        <v/>
      </c>
      <c r="K14" s="31" t="inlineStr">
        <is>
          <t>Not Started</t>
        </is>
      </c>
      <c r="L14" s="32" t="n"/>
      <c r="M14" s="33">
        <f>IF(K14="Done",1,IF(L14="",0,MIN(1,L14)))</f>
        <v/>
      </c>
      <c r="N14" s="31" t="n"/>
      <c r="O14" s="34" t="n"/>
      <c r="P14" s="29">
        <f>IF(K14="Done",IF(O14="","Done",IF(J14="","Done",IF(O14&lt;=J14,"On time","Late"))),IF(K14="Blocked","BLOCKED",IF(I14="","",IF(TODAY()&gt;J14,"OVERDUE",IF(TODAY()&gt;=I14,"Active","Upcoming")))))</f>
        <v/>
      </c>
      <c r="Q14" s="31" t="n"/>
      <c r="R14" s="31" t="n"/>
    </row>
    <row r="15">
      <c r="A15" s="29" t="inlineStr">
        <is>
          <t>MB-T13</t>
        </is>
      </c>
      <c r="B15" s="29" t="inlineStr">
        <is>
          <t>Platform</t>
        </is>
      </c>
      <c r="C15" s="29" t="inlineStr">
        <is>
          <t>SaaS</t>
        </is>
      </c>
      <c r="D15" s="29" t="inlineStr">
        <is>
          <t>Dogfood: bill Meterbook's own customers with Meterbook (Stripe as payment provider)</t>
        </is>
      </c>
      <c r="E15" s="29" t="inlineStr">
        <is>
          <t>Own subscriptions invoiced by Meterbook</t>
        </is>
      </c>
      <c r="F15" s="29" t="inlineStr">
        <is>
          <t>P1</t>
        </is>
      </c>
      <c r="G15" s="29" t="n">
        <v>10</v>
      </c>
      <c r="H15" s="29" t="n">
        <v>4</v>
      </c>
      <c r="I15" s="30">
        <f>IF(H15="","",README!$C$6+(H15-1)*7)</f>
        <v/>
      </c>
      <c r="J15" s="30">
        <f>IF(H15="","",README!$C$6+(H15-1)*7+4)</f>
        <v/>
      </c>
      <c r="K15" s="31" t="inlineStr">
        <is>
          <t>Not Started</t>
        </is>
      </c>
      <c r="L15" s="32" t="n"/>
      <c r="M15" s="33">
        <f>IF(K15="Done",1,IF(L15="",0,MIN(1,L15)))</f>
        <v/>
      </c>
      <c r="N15" s="31" t="n"/>
      <c r="O15" s="34" t="n"/>
      <c r="P15" s="29">
        <f>IF(K15="Done",IF(O15="","Done",IF(J15="","Done",IF(O15&lt;=J15,"On time","Late"))),IF(K15="Blocked","BLOCKED",IF(I15="","",IF(TODAY()&gt;J15,"OVERDUE",IF(TODAY()&gt;=I15,"Active","Upcoming")))))</f>
        <v/>
      </c>
      <c r="Q15" s="31" t="n"/>
      <c r="R15" s="31" t="n"/>
    </row>
    <row r="16">
      <c r="A16" s="29" t="inlineStr">
        <is>
          <t>MB-T14</t>
        </is>
      </c>
      <c r="B16" s="29" t="inlineStr">
        <is>
          <t>Platform</t>
        </is>
      </c>
      <c r="C16" s="29" t="inlineStr">
        <is>
          <t>Observability</t>
        </is>
      </c>
      <c r="D16" s="29" t="inlineStr">
        <is>
          <t>OTel Collector, Prometheus, Grafana, Loki, Tempo; golden-signal dashboards</t>
        </is>
      </c>
      <c r="E16" s="29" t="inlineStr">
        <is>
          <t>Every service has RED dashboard and trace links</t>
        </is>
      </c>
      <c r="F16" s="29" t="inlineStr">
        <is>
          <t>P0</t>
        </is>
      </c>
      <c r="G16" s="29" t="n">
        <v>12</v>
      </c>
      <c r="H16" s="29" t="n">
        <v>4</v>
      </c>
      <c r="I16" s="30">
        <f>IF(H16="","",README!$C$6+(H16-1)*7)</f>
        <v/>
      </c>
      <c r="J16" s="30">
        <f>IF(H16="","",README!$C$6+(H16-1)*7+4)</f>
        <v/>
      </c>
      <c r="K16" s="31" t="inlineStr">
        <is>
          <t>Not Started</t>
        </is>
      </c>
      <c r="L16" s="32" t="n"/>
      <c r="M16" s="33">
        <f>IF(K16="Done",1,IF(L16="",0,MIN(1,L16)))</f>
        <v/>
      </c>
      <c r="N16" s="31" t="n"/>
      <c r="O16" s="34" t="n"/>
      <c r="P16" s="29">
        <f>IF(K16="Done",IF(O16="","Done",IF(J16="","Done",IF(O16&lt;=J16,"On time","Late"))),IF(K16="Blocked","BLOCKED",IF(I16="","",IF(TODAY()&gt;J16,"OVERDUE",IF(TODAY()&gt;=I16,"Active","Upcoming")))))</f>
        <v/>
      </c>
      <c r="Q16" s="31" t="n"/>
      <c r="R16" s="31" t="n"/>
    </row>
    <row r="17">
      <c r="A17" s="29" t="inlineStr">
        <is>
          <t>MB-T15</t>
        </is>
      </c>
      <c r="B17" s="29" t="inlineStr">
        <is>
          <t>Platform</t>
        </is>
      </c>
      <c r="C17" s="29" t="inlineStr">
        <is>
          <t>Ops</t>
        </is>
      </c>
      <c r="D17" s="29" t="inlineStr">
        <is>
          <t>Public status page, incident runbook template, on-call rotation doc</t>
        </is>
      </c>
      <c r="E17" s="29" t="inlineStr">
        <is>
          <t>Status page live; runbook template used by product services</t>
        </is>
      </c>
      <c r="F17" s="29" t="inlineStr">
        <is>
          <t>P2</t>
        </is>
      </c>
      <c r="G17" s="29" t="n">
        <v>4</v>
      </c>
      <c r="H17" s="29" t="n">
        <v>4</v>
      </c>
      <c r="I17" s="30">
        <f>IF(H17="","",README!$C$6+(H17-1)*7)</f>
        <v/>
      </c>
      <c r="J17" s="30">
        <f>IF(H17="","",README!$C$6+(H17-1)*7+4)</f>
        <v/>
      </c>
      <c r="K17" s="31" t="inlineStr">
        <is>
          <t>Not Started</t>
        </is>
      </c>
      <c r="L17" s="32" t="n"/>
      <c r="M17" s="33">
        <f>IF(K17="Done",1,IF(L17="",0,MIN(1,L17)))</f>
        <v/>
      </c>
      <c r="N17" s="31" t="n"/>
      <c r="O17" s="34" t="n"/>
      <c r="P17" s="29">
        <f>IF(K17="Done",IF(O17="","Done",IF(J17="","Done",IF(O17&lt;=J17,"On time","Late"))),IF(K17="Blocked","BLOCKED",IF(I17="","",IF(TODAY()&gt;J17,"OVERDUE",IF(TODAY()&gt;=I17,"Active","Upcoming")))))</f>
        <v/>
      </c>
      <c r="Q17" s="31" t="n"/>
      <c r="R17" s="31" t="n"/>
    </row>
    <row r="18">
      <c r="A18" s="29" t="inlineStr">
        <is>
          <t>MB-T16</t>
        </is>
      </c>
      <c r="B18" s="29" t="inlineStr">
        <is>
          <t>Product</t>
        </is>
      </c>
      <c r="C18" s="29" t="inlineStr">
        <is>
          <t>Design</t>
        </is>
      </c>
      <c r="D18" s="29" t="inlineStr">
        <is>
          <t>PRD + Google-style design doc (alternatives, trade-offs, capacity estimate)</t>
        </is>
      </c>
      <c r="E18" s="29" t="inlineStr">
        <is>
          <t>Doc reviewed; open questions closed</t>
        </is>
      </c>
      <c r="F18" s="29" t="inlineStr">
        <is>
          <t>P0</t>
        </is>
      </c>
      <c r="G18" s="29" t="n">
        <v>10</v>
      </c>
      <c r="H18" s="29" t="n">
        <v>5</v>
      </c>
      <c r="I18" s="30">
        <f>IF(H18="","",README!$C$6+(H18-1)*7)</f>
        <v/>
      </c>
      <c r="J18" s="30">
        <f>IF(H18="","",README!$C$6+(H18-1)*7+4)</f>
        <v/>
      </c>
      <c r="K18" s="31" t="inlineStr">
        <is>
          <t>Not Started</t>
        </is>
      </c>
      <c r="L18" s="32" t="n"/>
      <c r="M18" s="33">
        <f>IF(K18="Done",1,IF(L18="",0,MIN(1,L18)))</f>
        <v/>
      </c>
      <c r="N18" s="31" t="n"/>
      <c r="O18" s="34" t="n"/>
      <c r="P18" s="29">
        <f>IF(K18="Done",IF(O18="","Done",IF(J18="","Done",IF(O18&lt;=J18,"On time","Late"))),IF(K18="Blocked","BLOCKED",IF(I18="","",IF(TODAY()&gt;J18,"OVERDUE",IF(TODAY()&gt;=I18,"Active","Upcoming")))))</f>
        <v/>
      </c>
      <c r="Q18" s="31" t="n"/>
      <c r="R18" s="31" t="n"/>
    </row>
    <row r="19">
      <c r="A19" s="29" t="inlineStr">
        <is>
          <t>MB-T17</t>
        </is>
      </c>
      <c r="B19" s="29" t="inlineStr">
        <is>
          <t>Product</t>
        </is>
      </c>
      <c r="C19" s="29" t="inlineStr">
        <is>
          <t>Design</t>
        </is>
      </c>
      <c r="D19" s="29" t="inlineStr">
        <is>
          <t>Data model: accounts, ledger entries, invoices, money in minor units</t>
        </is>
      </c>
      <c r="E19" s="29" t="inlineStr">
        <is>
          <t>ERD + ADR for ledger immutability and isolation level</t>
        </is>
      </c>
      <c r="F19" s="29" t="inlineStr">
        <is>
          <t>P0</t>
        </is>
      </c>
      <c r="G19" s="29" t="n">
        <v>8</v>
      </c>
      <c r="H19" s="29" t="n">
        <v>5</v>
      </c>
      <c r="I19" s="30">
        <f>IF(H19="","",README!$C$6+(H19-1)*7)</f>
        <v/>
      </c>
      <c r="J19" s="30">
        <f>IF(H19="","",README!$C$6+(H19-1)*7+4)</f>
        <v/>
      </c>
      <c r="K19" s="31" t="inlineStr">
        <is>
          <t>Not Started</t>
        </is>
      </c>
      <c r="L19" s="32" t="n"/>
      <c r="M19" s="33">
        <f>IF(K19="Done",1,IF(L19="",0,MIN(1,L19)))</f>
        <v/>
      </c>
      <c r="N19" s="31" t="n"/>
      <c r="O19" s="34" t="n"/>
      <c r="P19" s="29">
        <f>IF(K19="Done",IF(O19="","Done",IF(J19="","Done",IF(O19&lt;=J19,"On time","Late"))),IF(K19="Blocked","BLOCKED",IF(I19="","",IF(TODAY()&gt;J19,"OVERDUE",IF(TODAY()&gt;=I19,"Active","Upcoming")))))</f>
        <v/>
      </c>
      <c r="Q19" s="31" t="n"/>
      <c r="R19" s="31" t="n"/>
    </row>
    <row r="20">
      <c r="A20" s="29" t="inlineStr">
        <is>
          <t>MB-T18</t>
        </is>
      </c>
      <c r="B20" s="29" t="inlineStr">
        <is>
          <t>Product</t>
        </is>
      </c>
      <c r="C20" s="29" t="inlineStr">
        <is>
          <t>Design</t>
        </is>
      </c>
      <c r="D20" s="29" t="inlineStr">
        <is>
          <t>API spec: OpenAPI (public) + protobuf (internal gRPC)</t>
        </is>
      </c>
      <c r="E20" s="29" t="inlineStr">
        <is>
          <t>Spectral lint passes; buf breaking-change check in CI</t>
        </is>
      </c>
      <c r="F20" s="29" t="inlineStr">
        <is>
          <t>P0</t>
        </is>
      </c>
      <c r="G20" s="29" t="n">
        <v>6</v>
      </c>
      <c r="H20" s="29" t="n">
        <v>5</v>
      </c>
      <c r="I20" s="30">
        <f>IF(H20="","",README!$C$6+(H20-1)*7)</f>
        <v/>
      </c>
      <c r="J20" s="30">
        <f>IF(H20="","",README!$C$6+(H20-1)*7+4)</f>
        <v/>
      </c>
      <c r="K20" s="31" t="inlineStr">
        <is>
          <t>Not Started</t>
        </is>
      </c>
      <c r="L20" s="32" t="n"/>
      <c r="M20" s="33">
        <f>IF(K20="Done",1,IF(L20="",0,MIN(1,L20)))</f>
        <v/>
      </c>
      <c r="N20" s="31" t="n"/>
      <c r="O20" s="34" t="n"/>
      <c r="P20" s="29">
        <f>IF(K20="Done",IF(O20="","Done",IF(J20="","Done",IF(O20&lt;=J20,"On time","Late"))),IF(K20="Blocked","BLOCKED",IF(I20="","",IF(TODAY()&gt;J20,"OVERDUE",IF(TODAY()&gt;=I20,"Active","Upcoming")))))</f>
        <v/>
      </c>
      <c r="Q20" s="31" t="n"/>
      <c r="R20" s="31" t="n"/>
    </row>
    <row r="21">
      <c r="A21" s="29" t="inlineStr">
        <is>
          <t>MB-T19</t>
        </is>
      </c>
      <c r="B21" s="29" t="inlineStr">
        <is>
          <t>Product</t>
        </is>
      </c>
      <c r="C21" s="29" t="inlineStr">
        <is>
          <t>Core</t>
        </is>
      </c>
      <c r="D21" s="29" t="inlineStr">
        <is>
          <t>Double-entry ledger service (append-only, Java 21 + Spring Boot 3 + jOOQ)</t>
        </is>
      </c>
      <c r="E21" s="29" t="inlineStr">
        <is>
          <t>Invariant sum(debits)=sum(credits) enforced and tested</t>
        </is>
      </c>
      <c r="F21" s="29" t="inlineStr">
        <is>
          <t>P0</t>
        </is>
      </c>
      <c r="G21" s="29" t="n">
        <v>24</v>
      </c>
      <c r="H21" s="29" t="n">
        <v>6</v>
      </c>
      <c r="I21" s="30">
        <f>IF(H21="","",README!$C$6+(H21-1)*7)</f>
        <v/>
      </c>
      <c r="J21" s="30">
        <f>IF(H21="","",README!$C$6+(H21-1)*7+4)</f>
        <v/>
      </c>
      <c r="K21" s="31" t="inlineStr">
        <is>
          <t>Not Started</t>
        </is>
      </c>
      <c r="L21" s="32" t="n"/>
      <c r="M21" s="33">
        <f>IF(K21="Done",1,IF(L21="",0,MIN(1,L21)))</f>
        <v/>
      </c>
      <c r="N21" s="31" t="n"/>
      <c r="O21" s="34" t="n"/>
      <c r="P21" s="29">
        <f>IF(K21="Done",IF(O21="","Done",IF(J21="","Done",IF(O21&lt;=J21,"On time","Late"))),IF(K21="Blocked","BLOCKED",IF(I21="","",IF(TODAY()&gt;J21,"OVERDUE",IF(TODAY()&gt;=I21,"Active","Upcoming")))))</f>
        <v/>
      </c>
      <c r="Q21" s="31" t="n"/>
      <c r="R21" s="31" t="n"/>
    </row>
    <row r="22">
      <c r="A22" s="29" t="inlineStr">
        <is>
          <t>MB-T20</t>
        </is>
      </c>
      <c r="B22" s="29" t="inlineStr">
        <is>
          <t>Product</t>
        </is>
      </c>
      <c r="C22" s="29" t="inlineStr">
        <is>
          <t>Core</t>
        </is>
      </c>
      <c r="D22" s="29" t="inlineStr">
        <is>
          <t>Idempotency-key middleware (Redis + Postgres)</t>
        </is>
      </c>
      <c r="E22" s="29" t="inlineStr">
        <is>
          <t>Duplicate POST returns stored response; no duplicate effect</t>
        </is>
      </c>
      <c r="F22" s="29" t="inlineStr">
        <is>
          <t>P0</t>
        </is>
      </c>
      <c r="G22" s="29" t="n">
        <v>8</v>
      </c>
      <c r="H22" s="29" t="n">
        <v>6</v>
      </c>
      <c r="I22" s="30">
        <f>IF(H22="","",README!$C$6+(H22-1)*7)</f>
        <v/>
      </c>
      <c r="J22" s="30">
        <f>IF(H22="","",README!$C$6+(H22-1)*7+4)</f>
        <v/>
      </c>
      <c r="K22" s="31" t="inlineStr">
        <is>
          <t>Not Started</t>
        </is>
      </c>
      <c r="L22" s="32" t="n"/>
      <c r="M22" s="33">
        <f>IF(K22="Done",1,IF(L22="",0,MIN(1,L22)))</f>
        <v/>
      </c>
      <c r="N22" s="31" t="n"/>
      <c r="O22" s="34" t="n"/>
      <c r="P22" s="29">
        <f>IF(K22="Done",IF(O22="","Done",IF(J22="","Done",IF(O22&lt;=J22,"On time","Late"))),IF(K22="Blocked","BLOCKED",IF(I22="","",IF(TODAY()&gt;J22,"OVERDUE",IF(TODAY()&gt;=I22,"Active","Upcoming")))))</f>
        <v/>
      </c>
      <c r="Q22" s="31" t="n"/>
      <c r="R22" s="31" t="n"/>
    </row>
    <row r="23">
      <c r="A23" s="29" t="inlineStr">
        <is>
          <t>MB-T21</t>
        </is>
      </c>
      <c r="B23" s="29" t="inlineStr">
        <is>
          <t>Product</t>
        </is>
      </c>
      <c r="C23" s="29" t="inlineStr">
        <is>
          <t>Core</t>
        </is>
      </c>
      <c r="D23" s="29" t="inlineStr">
        <is>
          <t>Usage-event ingestion API -&gt; Kafka with dedupe by event_id</t>
        </is>
      </c>
      <c r="E23" s="29" t="inlineStr">
        <is>
          <t>10k events/s on staging; duplicates dropped</t>
        </is>
      </c>
      <c r="F23" s="29" t="inlineStr">
        <is>
          <t>P0</t>
        </is>
      </c>
      <c r="G23" s="29" t="n">
        <v>20</v>
      </c>
      <c r="H23" s="29" t="n">
        <v>7</v>
      </c>
      <c r="I23" s="30">
        <f>IF(H23="","",README!$C$6+(H23-1)*7)</f>
        <v/>
      </c>
      <c r="J23" s="30">
        <f>IF(H23="","",README!$C$6+(H23-1)*7+4)</f>
        <v/>
      </c>
      <c r="K23" s="31" t="inlineStr">
        <is>
          <t>Not Started</t>
        </is>
      </c>
      <c r="L23" s="32" t="n"/>
      <c r="M23" s="33">
        <f>IF(K23="Done",1,IF(L23="",0,MIN(1,L23)))</f>
        <v/>
      </c>
      <c r="N23" s="31" t="n"/>
      <c r="O23" s="34" t="n"/>
      <c r="P23" s="29">
        <f>IF(K23="Done",IF(O23="","Done",IF(J23="","Done",IF(O23&lt;=J23,"On time","Late"))),IF(K23="Blocked","BLOCKED",IF(I23="","",IF(TODAY()&gt;J23,"OVERDUE",IF(TODAY()&gt;=I23,"Active","Upcoming")))))</f>
        <v/>
      </c>
      <c r="Q23" s="31" t="n"/>
      <c r="R23" s="31" t="n"/>
    </row>
    <row r="24">
      <c r="A24" s="29" t="inlineStr">
        <is>
          <t>MB-T22</t>
        </is>
      </c>
      <c r="B24" s="29" t="inlineStr">
        <is>
          <t>Product</t>
        </is>
      </c>
      <c r="C24" s="29" t="inlineStr">
        <is>
          <t>Core</t>
        </is>
      </c>
      <c r="D24" s="29" t="inlineStr">
        <is>
          <t>Pricing engine: tiered, volume, per-seat, prepaid credits, commitments</t>
        </is>
      </c>
      <c r="E24" s="29" t="inlineStr">
        <is>
          <t>Rating rules 100% branch covered</t>
        </is>
      </c>
      <c r="F24" s="29" t="inlineStr">
        <is>
          <t>P0</t>
        </is>
      </c>
      <c r="G24" s="29" t="n">
        <v>24</v>
      </c>
      <c r="H24" s="29" t="n">
        <v>8</v>
      </c>
      <c r="I24" s="30">
        <f>IF(H24="","",README!$C$6+(H24-1)*7)</f>
        <v/>
      </c>
      <c r="J24" s="30">
        <f>IF(H24="","",README!$C$6+(H24-1)*7+4)</f>
        <v/>
      </c>
      <c r="K24" s="31" t="inlineStr">
        <is>
          <t>Not Started</t>
        </is>
      </c>
      <c r="L24" s="32" t="n"/>
      <c r="M24" s="33">
        <f>IF(K24="Done",1,IF(L24="",0,MIN(1,L24)))</f>
        <v/>
      </c>
      <c r="N24" s="31" t="n"/>
      <c r="O24" s="34" t="n"/>
      <c r="P24" s="29">
        <f>IF(K24="Done",IF(O24="","Done",IF(J24="","Done",IF(O24&lt;=J24,"On time","Late"))),IF(K24="Blocked","BLOCKED",IF(I24="","",IF(TODAY()&gt;J24,"OVERDUE",IF(TODAY()&gt;=I24,"Active","Upcoming")))))</f>
        <v/>
      </c>
      <c r="Q24" s="31" t="n"/>
      <c r="R24" s="31" t="n"/>
    </row>
    <row r="25">
      <c r="A25" s="29" t="inlineStr">
        <is>
          <t>MB-T23</t>
        </is>
      </c>
      <c r="B25" s="29" t="inlineStr">
        <is>
          <t>Product</t>
        </is>
      </c>
      <c r="C25" s="29" t="inlineStr">
        <is>
          <t>Core</t>
        </is>
      </c>
      <c r="D25" s="29" t="inlineStr">
        <is>
          <t>Invoice generation: proration, multi-currency, tax hook</t>
        </is>
      </c>
      <c r="E25" s="29" t="inlineStr">
        <is>
          <t>Invoices match golden files</t>
        </is>
      </c>
      <c r="F25" s="29" t="inlineStr">
        <is>
          <t>P0</t>
        </is>
      </c>
      <c r="G25" s="29" t="n">
        <v>20</v>
      </c>
      <c r="H25" s="29" t="n">
        <v>9</v>
      </c>
      <c r="I25" s="30">
        <f>IF(H25="","",README!$C$6+(H25-1)*7)</f>
        <v/>
      </c>
      <c r="J25" s="30">
        <f>IF(H25="","",README!$C$6+(H25-1)*7+4)</f>
        <v/>
      </c>
      <c r="K25" s="31" t="inlineStr">
        <is>
          <t>Not Started</t>
        </is>
      </c>
      <c r="L25" s="32" t="n"/>
      <c r="M25" s="33">
        <f>IF(K25="Done",1,IF(L25="",0,MIN(1,L25)))</f>
        <v/>
      </c>
      <c r="N25" s="31" t="n"/>
      <c r="O25" s="34" t="n"/>
      <c r="P25" s="29">
        <f>IF(K25="Done",IF(O25="","Done",IF(J25="","Done",IF(O25&lt;=J25,"On time","Late"))),IF(K25="Blocked","BLOCKED",IF(I25="","",IF(TODAY()&gt;J25,"OVERDUE",IF(TODAY()&gt;=I25,"Active","Upcoming")))))</f>
        <v/>
      </c>
      <c r="Q25" s="31" t="n"/>
      <c r="R25" s="31" t="n"/>
    </row>
    <row r="26">
      <c r="A26" s="29" t="inlineStr">
        <is>
          <t>MB-T24</t>
        </is>
      </c>
      <c r="B26" s="29" t="inlineStr">
        <is>
          <t>Product</t>
        </is>
      </c>
      <c r="C26" s="29" t="inlineStr">
        <is>
          <t>Core</t>
        </is>
      </c>
      <c r="D26" s="29" t="inlineStr">
        <is>
          <t>Transactional outbox + Debezium CDC</t>
        </is>
      </c>
      <c r="E26" s="29" t="inlineStr">
        <is>
          <t>No lost events when pod is killed after commit</t>
        </is>
      </c>
      <c r="F26" s="29" t="inlineStr">
        <is>
          <t>P0</t>
        </is>
      </c>
      <c r="G26" s="29" t="n">
        <v>12</v>
      </c>
      <c r="H26" s="29" t="n">
        <v>9</v>
      </c>
      <c r="I26" s="30">
        <f>IF(H26="","",README!$C$6+(H26-1)*7)</f>
        <v/>
      </c>
      <c r="J26" s="30">
        <f>IF(H26="","",README!$C$6+(H26-1)*7+4)</f>
        <v/>
      </c>
      <c r="K26" s="31" t="inlineStr">
        <is>
          <t>Not Started</t>
        </is>
      </c>
      <c r="L26" s="32" t="n"/>
      <c r="M26" s="33">
        <f>IF(K26="Done",1,IF(L26="",0,MIN(1,L26)))</f>
        <v/>
      </c>
      <c r="N26" s="31" t="n"/>
      <c r="O26" s="34" t="n"/>
      <c r="P26" s="29">
        <f>IF(K26="Done",IF(O26="","Done",IF(J26="","Done",IF(O26&lt;=J26,"On time","Late"))),IF(K26="Blocked","BLOCKED",IF(I26="","",IF(TODAY()&gt;J26,"OVERDUE",IF(TODAY()&gt;=I26,"Active","Upcoming")))))</f>
        <v/>
      </c>
      <c r="Q26" s="31" t="n"/>
      <c r="R26" s="31" t="n"/>
    </row>
    <row r="27">
      <c r="A27" s="29" t="inlineStr">
        <is>
          <t>MB-T25</t>
        </is>
      </c>
      <c r="B27" s="29" t="inlineStr">
        <is>
          <t>Product</t>
        </is>
      </c>
      <c r="C27" s="29" t="inlineStr">
        <is>
          <t>Core</t>
        </is>
      </c>
      <c r="D27" s="29" t="inlineStr">
        <is>
          <t>Temporal workflows: dunning, payment retries, sagas with compensation</t>
        </is>
      </c>
      <c r="E27" s="29" t="inlineStr">
        <is>
          <t>Compensation path tested for each saga step</t>
        </is>
      </c>
      <c r="F27" s="29" t="inlineStr">
        <is>
          <t>P0</t>
        </is>
      </c>
      <c r="G27" s="29" t="n">
        <v>16</v>
      </c>
      <c r="H27" s="29" t="n">
        <v>10</v>
      </c>
      <c r="I27" s="30">
        <f>IF(H27="","",README!$C$6+(H27-1)*7)</f>
        <v/>
      </c>
      <c r="J27" s="30">
        <f>IF(H27="","",README!$C$6+(H27-1)*7+4)</f>
        <v/>
      </c>
      <c r="K27" s="31" t="inlineStr">
        <is>
          <t>Not Started</t>
        </is>
      </c>
      <c r="L27" s="32" t="n"/>
      <c r="M27" s="33">
        <f>IF(K27="Done",1,IF(L27="",0,MIN(1,L27)))</f>
        <v/>
      </c>
      <c r="N27" s="31" t="n"/>
      <c r="O27" s="34" t="n"/>
      <c r="P27" s="29">
        <f>IF(K27="Done",IF(O27="","Done",IF(J27="","Done",IF(O27&lt;=J27,"On time","Late"))),IF(K27="Blocked","BLOCKED",IF(I27="","",IF(TODAY()&gt;J27,"OVERDUE",IF(TODAY()&gt;=I27,"Active","Upcoming")))))</f>
        <v/>
      </c>
      <c r="Q27" s="31" t="n"/>
      <c r="R27" s="31" t="n"/>
    </row>
    <row r="28">
      <c r="A28" s="29" t="inlineStr">
        <is>
          <t>MB-T26</t>
        </is>
      </c>
      <c r="B28" s="29" t="inlineStr">
        <is>
          <t>Product</t>
        </is>
      </c>
      <c r="C28" s="29" t="inlineStr">
        <is>
          <t>Core</t>
        </is>
      </c>
      <c r="D28" s="29" t="inlineStr">
        <is>
          <t>Payment-provider adapter (Stripe) + inbound webhook verification</t>
        </is>
      </c>
      <c r="E28" s="29" t="inlineStr">
        <is>
          <t>Signature verified; adapter interface allows a second PSP</t>
        </is>
      </c>
      <c r="F28" s="29" t="inlineStr">
        <is>
          <t>P1</t>
        </is>
      </c>
      <c r="G28" s="29" t="n">
        <v>10</v>
      </c>
      <c r="H28" s="29" t="n">
        <v>10</v>
      </c>
      <c r="I28" s="30">
        <f>IF(H28="","",README!$C$6+(H28-1)*7)</f>
        <v/>
      </c>
      <c r="J28" s="30">
        <f>IF(H28="","",README!$C$6+(H28-1)*7+4)</f>
        <v/>
      </c>
      <c r="K28" s="31" t="inlineStr">
        <is>
          <t>Not Started</t>
        </is>
      </c>
      <c r="L28" s="32" t="n"/>
      <c r="M28" s="33">
        <f>IF(K28="Done",1,IF(L28="",0,MIN(1,L28)))</f>
        <v/>
      </c>
      <c r="N28" s="31" t="n"/>
      <c r="O28" s="34" t="n"/>
      <c r="P28" s="29">
        <f>IF(K28="Done",IF(O28="","Done",IF(J28="","Done",IF(O28&lt;=J28,"On time","Late"))),IF(K28="Blocked","BLOCKED",IF(I28="","",IF(TODAY()&gt;J28,"OVERDUE",IF(TODAY()&gt;=I28,"Active","Upcoming")))))</f>
        <v/>
      </c>
      <c r="Q28" s="31" t="n"/>
      <c r="R28" s="31" t="n"/>
    </row>
    <row r="29">
      <c r="A29" s="29" t="inlineStr">
        <is>
          <t>MB-T27</t>
        </is>
      </c>
      <c r="B29" s="29" t="inlineStr">
        <is>
          <t>Product</t>
        </is>
      </c>
      <c r="C29" s="29" t="inlineStr">
        <is>
          <t>Core</t>
        </is>
      </c>
      <c r="D29" s="29" t="inlineStr">
        <is>
          <t>Outbound webhooks: HMAC signing, retries w/ backoff, DLQ, replay API</t>
        </is>
      </c>
      <c r="E29" s="29" t="inlineStr">
        <is>
          <t>Delivery success &gt;= 99.9% under endpoint flakiness</t>
        </is>
      </c>
      <c r="F29" s="29" t="inlineStr">
        <is>
          <t>P0</t>
        </is>
      </c>
      <c r="G29" s="29" t="n">
        <v>12</v>
      </c>
      <c r="H29" s="29" t="n">
        <v>11</v>
      </c>
      <c r="I29" s="30">
        <f>IF(H29="","",README!$C$6+(H29-1)*7)</f>
        <v/>
      </c>
      <c r="J29" s="30">
        <f>IF(H29="","",README!$C$6+(H29-1)*7+4)</f>
        <v/>
      </c>
      <c r="K29" s="31" t="inlineStr">
        <is>
          <t>Not Started</t>
        </is>
      </c>
      <c r="L29" s="32" t="n"/>
      <c r="M29" s="33">
        <f>IF(K29="Done",1,IF(L29="",0,MIN(1,L29)))</f>
        <v/>
      </c>
      <c r="N29" s="31" t="n"/>
      <c r="O29" s="34" t="n"/>
      <c r="P29" s="29">
        <f>IF(K29="Done",IF(O29="","Done",IF(J29="","Done",IF(O29&lt;=J29,"On time","Late"))),IF(K29="Blocked","BLOCKED",IF(I29="","",IF(TODAY()&gt;J29,"OVERDUE",IF(TODAY()&gt;=I29,"Active","Upcoming")))))</f>
        <v/>
      </c>
      <c r="Q29" s="31" t="n"/>
      <c r="R29" s="31" t="n"/>
    </row>
    <row r="30">
      <c r="A30" s="29" t="inlineStr">
        <is>
          <t>MB-T28</t>
        </is>
      </c>
      <c r="B30" s="29" t="inlineStr">
        <is>
          <t>Product</t>
        </is>
      </c>
      <c r="C30" s="29" t="inlineStr">
        <is>
          <t>Core</t>
        </is>
      </c>
      <c r="D30" s="29" t="inlineStr">
        <is>
          <t>Reconciliation job: ledger vs PSP payouts</t>
        </is>
      </c>
      <c r="E30" s="29" t="inlineStr">
        <is>
          <t>Daily report with zero unexplained differences</t>
        </is>
      </c>
      <c r="F30" s="29" t="inlineStr">
        <is>
          <t>P1</t>
        </is>
      </c>
      <c r="G30" s="29" t="n">
        <v>10</v>
      </c>
      <c r="H30" s="29" t="n">
        <v>11</v>
      </c>
      <c r="I30" s="30">
        <f>IF(H30="","",README!$C$6+(H30-1)*7)</f>
        <v/>
      </c>
      <c r="J30" s="30">
        <f>IF(H30="","",README!$C$6+(H30-1)*7+4)</f>
        <v/>
      </c>
      <c r="K30" s="31" t="inlineStr">
        <is>
          <t>Not Started</t>
        </is>
      </c>
      <c r="L30" s="32" t="n"/>
      <c r="M30" s="33">
        <f>IF(K30="Done",1,IF(L30="",0,MIN(1,L30)))</f>
        <v/>
      </c>
      <c r="N30" s="31" t="n"/>
      <c r="O30" s="34" t="n"/>
      <c r="P30" s="29">
        <f>IF(K30="Done",IF(O30="","Done",IF(J30="","Done",IF(O30&lt;=J30,"On time","Late"))),IF(K30="Blocked","BLOCKED",IF(I30="","",IF(TODAY()&gt;J30,"OVERDUE",IF(TODAY()&gt;=I30,"Active","Upcoming")))))</f>
        <v/>
      </c>
      <c r="Q30" s="31" t="n"/>
      <c r="R30" s="31" t="n"/>
    </row>
    <row r="31">
      <c r="A31" s="29" t="inlineStr">
        <is>
          <t>MB-T29</t>
        </is>
      </c>
      <c r="B31" s="29" t="inlineStr">
        <is>
          <t>Product</t>
        </is>
      </c>
      <c r="C31" s="29" t="inlineStr">
        <is>
          <t>SaaS</t>
        </is>
      </c>
      <c r="D31" s="29" t="inlineStr">
        <is>
          <t>Customer portal + internal admin console</t>
        </is>
      </c>
      <c r="E31" s="29" t="inlineStr">
        <is>
          <t>E2E flows pass in Playwright</t>
        </is>
      </c>
      <c r="F31" s="29" t="inlineStr">
        <is>
          <t>P1</t>
        </is>
      </c>
      <c r="G31" s="29" t="n">
        <v>16</v>
      </c>
      <c r="H31" s="29" t="n">
        <v>12</v>
      </c>
      <c r="I31" s="30">
        <f>IF(H31="","",README!$C$6+(H31-1)*7)</f>
        <v/>
      </c>
      <c r="J31" s="30">
        <f>IF(H31="","",README!$C$6+(H31-1)*7+4)</f>
        <v/>
      </c>
      <c r="K31" s="31" t="inlineStr">
        <is>
          <t>Not Started</t>
        </is>
      </c>
      <c r="L31" s="32" t="n"/>
      <c r="M31" s="33">
        <f>IF(K31="Done",1,IF(L31="",0,MIN(1,L31)))</f>
        <v/>
      </c>
      <c r="N31" s="31" t="n"/>
      <c r="O31" s="34" t="n"/>
      <c r="P31" s="29">
        <f>IF(K31="Done",IF(O31="","Done",IF(J31="","Done",IF(O31&lt;=J31,"On time","Late"))),IF(K31="Blocked","BLOCKED",IF(I31="","",IF(TODAY()&gt;J31,"OVERDUE",IF(TODAY()&gt;=I31,"Active","Upcoming")))))</f>
        <v/>
      </c>
      <c r="Q31" s="31" t="n"/>
      <c r="R31" s="31" t="n"/>
    </row>
    <row r="32">
      <c r="A32" s="29" t="inlineStr">
        <is>
          <t>MB-T30</t>
        </is>
      </c>
      <c r="B32" s="29" t="inlineStr">
        <is>
          <t>Product</t>
        </is>
      </c>
      <c r="C32" s="29" t="inlineStr">
        <is>
          <t>SaaS</t>
        </is>
      </c>
      <c r="D32" s="29" t="inlineStr">
        <is>
          <t>Generated SDKs (TypeScript, Python, Java)</t>
        </is>
      </c>
      <c r="E32" s="29" t="inlineStr">
        <is>
          <t>Published to npm / PyPI / Maven (or GitHub Packages)</t>
        </is>
      </c>
      <c r="F32" s="29" t="inlineStr">
        <is>
          <t>P2</t>
        </is>
      </c>
      <c r="G32" s="29" t="n">
        <v>8</v>
      </c>
      <c r="H32" s="29" t="n">
        <v>12</v>
      </c>
      <c r="I32" s="30">
        <f>IF(H32="","",README!$C$6+(H32-1)*7)</f>
        <v/>
      </c>
      <c r="J32" s="30">
        <f>IF(H32="","",README!$C$6+(H32-1)*7+4)</f>
        <v/>
      </c>
      <c r="K32" s="31" t="inlineStr">
        <is>
          <t>Not Started</t>
        </is>
      </c>
      <c r="L32" s="32" t="n"/>
      <c r="M32" s="33">
        <f>IF(K32="Done",1,IF(L32="",0,MIN(1,L32)))</f>
        <v/>
      </c>
      <c r="N32" s="31" t="n"/>
      <c r="O32" s="34" t="n"/>
      <c r="P32" s="29">
        <f>IF(K32="Done",IF(O32="","Done",IF(J32="","Done",IF(O32&lt;=J32,"On time","Late"))),IF(K32="Blocked","BLOCKED",IF(I32="","",IF(TODAY()&gt;J32,"OVERDUE",IF(TODAY()&gt;=I32,"Active","Upcoming")))))</f>
        <v/>
      </c>
      <c r="Q32" s="31" t="n"/>
      <c r="R32" s="31" t="n"/>
    </row>
    <row r="33">
      <c r="A33" s="29" t="inlineStr">
        <is>
          <t>MB-T31</t>
        </is>
      </c>
      <c r="B33" s="29" t="inlineStr">
        <is>
          <t>Product</t>
        </is>
      </c>
      <c r="C33" s="29" t="inlineStr">
        <is>
          <t>Testing</t>
        </is>
      </c>
      <c r="D33" s="29" t="inlineStr">
        <is>
          <t>Unit + property-based tests (jqwik) for ledger and pricing</t>
        </is>
      </c>
      <c r="E33" s="29" t="inlineStr">
        <is>
          <t>Branch &gt;= 90%, mutation (PIT) &gt;= 75%</t>
        </is>
      </c>
      <c r="F33" s="29" t="inlineStr">
        <is>
          <t>P0</t>
        </is>
      </c>
      <c r="G33" s="29" t="n">
        <v>16</v>
      </c>
      <c r="H33" s="29" t="n">
        <v>12</v>
      </c>
      <c r="I33" s="30">
        <f>IF(H33="","",README!$C$6+(H33-1)*7)</f>
        <v/>
      </c>
      <c r="J33" s="30">
        <f>IF(H33="","",README!$C$6+(H33-1)*7+4)</f>
        <v/>
      </c>
      <c r="K33" s="31" t="inlineStr">
        <is>
          <t>Not Started</t>
        </is>
      </c>
      <c r="L33" s="32" t="n"/>
      <c r="M33" s="33">
        <f>IF(K33="Done",1,IF(L33="",0,MIN(1,L33)))</f>
        <v/>
      </c>
      <c r="N33" s="31" t="n"/>
      <c r="O33" s="34" t="n"/>
      <c r="P33" s="29">
        <f>IF(K33="Done",IF(O33="","Done",IF(J33="","Done",IF(O33&lt;=J33,"On time","Late"))),IF(K33="Blocked","BLOCKED",IF(I33="","",IF(TODAY()&gt;J33,"OVERDUE",IF(TODAY()&gt;=I33,"Active","Upcoming")))))</f>
        <v/>
      </c>
      <c r="Q33" s="31" t="n"/>
      <c r="R33" s="31" t="n"/>
    </row>
    <row r="34">
      <c r="A34" s="29" t="inlineStr">
        <is>
          <t>MB-T32</t>
        </is>
      </c>
      <c r="B34" s="29" t="inlineStr">
        <is>
          <t>Product</t>
        </is>
      </c>
      <c r="C34" s="29" t="inlineStr">
        <is>
          <t>Testing</t>
        </is>
      </c>
      <c r="D34" s="29" t="inlineStr">
        <is>
          <t>Integration (Testcontainers) + contract tests (Pact)</t>
        </is>
      </c>
      <c r="E34" s="29" t="inlineStr">
        <is>
          <t>All green in CI</t>
        </is>
      </c>
      <c r="F34" s="29" t="inlineStr">
        <is>
          <t>P0</t>
        </is>
      </c>
      <c r="G34" s="29" t="n">
        <v>12</v>
      </c>
      <c r="H34" s="29" t="n">
        <v>13</v>
      </c>
      <c r="I34" s="30">
        <f>IF(H34="","",README!$C$6+(H34-1)*7)</f>
        <v/>
      </c>
      <c r="J34" s="30">
        <f>IF(H34="","",README!$C$6+(H34-1)*7+4)</f>
        <v/>
      </c>
      <c r="K34" s="31" t="inlineStr">
        <is>
          <t>Not Started</t>
        </is>
      </c>
      <c r="L34" s="32" t="n"/>
      <c r="M34" s="33">
        <f>IF(K34="Done",1,IF(L34="",0,MIN(1,L34)))</f>
        <v/>
      </c>
      <c r="N34" s="31" t="n"/>
      <c r="O34" s="34" t="n"/>
      <c r="P34" s="29">
        <f>IF(K34="Done",IF(O34="","Done",IF(J34="","Done",IF(O34&lt;=J34,"On time","Late"))),IF(K34="Blocked","BLOCKED",IF(I34="","",IF(TODAY()&gt;J34,"OVERDUE",IF(TODAY()&gt;=I34,"Active","Upcoming")))))</f>
        <v/>
      </c>
      <c r="Q34" s="31" t="n"/>
      <c r="R34" s="31" t="n"/>
    </row>
    <row r="35">
      <c r="A35" s="29" t="inlineStr">
        <is>
          <t>MB-T33</t>
        </is>
      </c>
      <c r="B35" s="29" t="inlineStr">
        <is>
          <t>Product</t>
        </is>
      </c>
      <c r="C35" s="29" t="inlineStr">
        <is>
          <t>Testing</t>
        </is>
      </c>
      <c r="D35" s="29" t="inlineStr">
        <is>
          <t>Load / stress / spike / soak runs (Gatling or k6)</t>
        </is>
      </c>
      <c r="E35" s="29" t="inlineStr">
        <is>
          <t>All rows in Load_Stress_Runs filled</t>
        </is>
      </c>
      <c r="F35" s="29" t="inlineStr">
        <is>
          <t>P0</t>
        </is>
      </c>
      <c r="G35" s="29" t="n">
        <v>12</v>
      </c>
      <c r="H35" s="29" t="n">
        <v>13</v>
      </c>
      <c r="I35" s="30">
        <f>IF(H35="","",README!$C$6+(H35-1)*7)</f>
        <v/>
      </c>
      <c r="J35" s="30">
        <f>IF(H35="","",README!$C$6+(H35-1)*7+4)</f>
        <v/>
      </c>
      <c r="K35" s="31" t="inlineStr">
        <is>
          <t>Not Started</t>
        </is>
      </c>
      <c r="L35" s="32" t="n"/>
      <c r="M35" s="33">
        <f>IF(K35="Done",1,IF(L35="",0,MIN(1,L35)))</f>
        <v/>
      </c>
      <c r="N35" s="31" t="n"/>
      <c r="O35" s="34" t="n"/>
      <c r="P35" s="29">
        <f>IF(K35="Done",IF(O35="","Done",IF(J35="","Done",IF(O35&lt;=J35,"On time","Late"))),IF(K35="Blocked","BLOCKED",IF(I35="","",IF(TODAY()&gt;J35,"OVERDUE",IF(TODAY()&gt;=I35,"Active","Upcoming")))))</f>
        <v/>
      </c>
      <c r="Q35" s="31" t="n"/>
      <c r="R35" s="31" t="n"/>
    </row>
    <row r="36">
      <c r="A36" s="29" t="inlineStr">
        <is>
          <t>MB-T34</t>
        </is>
      </c>
      <c r="B36" s="29" t="inlineStr">
        <is>
          <t>Product</t>
        </is>
      </c>
      <c r="C36" s="29" t="inlineStr">
        <is>
          <t>Testing</t>
        </is>
      </c>
      <c r="D36" s="29" t="inlineStr">
        <is>
          <t>Chaos experiments (Chaos Mesh)</t>
        </is>
      </c>
      <c r="E36" s="29" t="inlineStr">
        <is>
          <t>All rows in Chaos_Resilience filled</t>
        </is>
      </c>
      <c r="F36" s="29" t="inlineStr">
        <is>
          <t>P0</t>
        </is>
      </c>
      <c r="G36" s="29" t="n">
        <v>8</v>
      </c>
      <c r="H36" s="29" t="n">
        <v>14</v>
      </c>
      <c r="I36" s="30">
        <f>IF(H36="","",README!$C$6+(H36-1)*7)</f>
        <v/>
      </c>
      <c r="J36" s="30">
        <f>IF(H36="","",README!$C$6+(H36-1)*7+4)</f>
        <v/>
      </c>
      <c r="K36" s="31" t="inlineStr">
        <is>
          <t>Not Started</t>
        </is>
      </c>
      <c r="L36" s="32" t="n"/>
      <c r="M36" s="33">
        <f>IF(K36="Done",1,IF(L36="",0,MIN(1,L36)))</f>
        <v/>
      </c>
      <c r="N36" s="31" t="n"/>
      <c r="O36" s="34" t="n"/>
      <c r="P36" s="29">
        <f>IF(K36="Done",IF(O36="","Done",IF(J36="","Done",IF(O36&lt;=J36,"On time","Late"))),IF(K36="Blocked","BLOCKED",IF(I36="","",IF(TODAY()&gt;J36,"OVERDUE",IF(TODAY()&gt;=I36,"Active","Upcoming")))))</f>
        <v/>
      </c>
      <c r="Q36" s="31" t="n"/>
      <c r="R36" s="31" t="n"/>
    </row>
    <row r="37">
      <c r="A37" s="29" t="inlineStr">
        <is>
          <t>MB-T35</t>
        </is>
      </c>
      <c r="B37" s="29" t="inlineStr">
        <is>
          <t>Product</t>
        </is>
      </c>
      <c r="C37" s="29" t="inlineStr">
        <is>
          <t>Security</t>
        </is>
      </c>
      <c r="D37" s="29" t="inlineStr">
        <is>
          <t>Threat model (STRIDE) + DAST (ZAP) + pen-test checklist</t>
        </is>
      </c>
      <c r="E37" s="29" t="inlineStr">
        <is>
          <t>No high findings open</t>
        </is>
      </c>
      <c r="F37" s="29" t="inlineStr">
        <is>
          <t>P0</t>
        </is>
      </c>
      <c r="G37" s="29" t="n">
        <v>8</v>
      </c>
      <c r="H37" s="29" t="n">
        <v>14</v>
      </c>
      <c r="I37" s="30">
        <f>IF(H37="","",README!$C$6+(H37-1)*7)</f>
        <v/>
      </c>
      <c r="J37" s="30">
        <f>IF(H37="","",README!$C$6+(H37-1)*7+4)</f>
        <v/>
      </c>
      <c r="K37" s="31" t="inlineStr">
        <is>
          <t>Not Started</t>
        </is>
      </c>
      <c r="L37" s="32" t="n"/>
      <c r="M37" s="33">
        <f>IF(K37="Done",1,IF(L37="",0,MIN(1,L37)))</f>
        <v/>
      </c>
      <c r="N37" s="31" t="n"/>
      <c r="O37" s="34" t="n"/>
      <c r="P37" s="29">
        <f>IF(K37="Done",IF(O37="","Done",IF(J37="","Done",IF(O37&lt;=J37,"On time","Late"))),IF(K37="Blocked","BLOCKED",IF(I37="","",IF(TODAY()&gt;J37,"OVERDUE",IF(TODAY()&gt;=I37,"Active","Upcoming")))))</f>
        <v/>
      </c>
      <c r="Q37" s="31" t="n"/>
      <c r="R37" s="31" t="n"/>
    </row>
    <row r="38">
      <c r="A38" s="29" t="inlineStr">
        <is>
          <t>MB-T36</t>
        </is>
      </c>
      <c r="B38" s="29" t="inlineStr">
        <is>
          <t>Product</t>
        </is>
      </c>
      <c r="C38" s="29" t="inlineStr">
        <is>
          <t>Ops</t>
        </is>
      </c>
      <c r="D38" s="29" t="inlineStr">
        <is>
          <t>Canary rollout with Argo Rollouts + auto-rollback on SLO breach</t>
        </is>
      </c>
      <c r="E38" s="29" t="inlineStr">
        <is>
          <t>Bad build rolled back automatically in a drill</t>
        </is>
      </c>
      <c r="F38" s="29" t="inlineStr">
        <is>
          <t>P0</t>
        </is>
      </c>
      <c r="G38" s="29" t="n">
        <v>6</v>
      </c>
      <c r="H38" s="29" t="n">
        <v>14</v>
      </c>
      <c r="I38" s="30">
        <f>IF(H38="","",README!$C$6+(H38-1)*7)</f>
        <v/>
      </c>
      <c r="J38" s="30">
        <f>IF(H38="","",README!$C$6+(H38-1)*7+4)</f>
        <v/>
      </c>
      <c r="K38" s="31" t="inlineStr">
        <is>
          <t>Not Started</t>
        </is>
      </c>
      <c r="L38" s="32" t="n"/>
      <c r="M38" s="33">
        <f>IF(K38="Done",1,IF(L38="",0,MIN(1,L38)))</f>
        <v/>
      </c>
      <c r="N38" s="31" t="n"/>
      <c r="O38" s="34" t="n"/>
      <c r="P38" s="29">
        <f>IF(K38="Done",IF(O38="","Done",IF(J38="","Done",IF(O38&lt;=J38,"On time","Late"))),IF(K38="Blocked","BLOCKED",IF(I38="","",IF(TODAY()&gt;J38,"OVERDUE",IF(TODAY()&gt;=I38,"Active","Upcoming")))))</f>
        <v/>
      </c>
      <c r="Q38" s="31" t="n"/>
      <c r="R38" s="31" t="n"/>
    </row>
    <row r="39">
      <c r="A39" s="29" t="inlineStr">
        <is>
          <t>MB-T37</t>
        </is>
      </c>
      <c r="B39" s="29" t="inlineStr">
        <is>
          <t>Product</t>
        </is>
      </c>
      <c r="C39" s="29" t="inlineStr">
        <is>
          <t>Launch</t>
        </is>
      </c>
      <c r="D39" s="29" t="inlineStr">
        <is>
          <t>Docs site + 5-minute quickstart</t>
        </is>
      </c>
      <c r="E39" s="29" t="inlineStr">
        <is>
          <t>A new user finishes the quickstart in &lt; 5 min (timed)</t>
        </is>
      </c>
      <c r="F39" s="29" t="inlineStr">
        <is>
          <t>P1</t>
        </is>
      </c>
      <c r="G39" s="29" t="n">
        <v>8</v>
      </c>
      <c r="H39" s="29" t="n">
        <v>14</v>
      </c>
      <c r="I39" s="30">
        <f>IF(H39="","",README!$C$6+(H39-1)*7)</f>
        <v/>
      </c>
      <c r="J39" s="30">
        <f>IF(H39="","",README!$C$6+(H39-1)*7+4)</f>
        <v/>
      </c>
      <c r="K39" s="31" t="inlineStr">
        <is>
          <t>Not Started</t>
        </is>
      </c>
      <c r="L39" s="32" t="n"/>
      <c r="M39" s="33">
        <f>IF(K39="Done",1,IF(L39="",0,MIN(1,L39)))</f>
        <v/>
      </c>
      <c r="N39" s="31" t="n"/>
      <c r="O39" s="34" t="n"/>
      <c r="P39" s="29">
        <f>IF(K39="Done",IF(O39="","Done",IF(J39="","Done",IF(O39&lt;=J39,"On time","Late"))),IF(K39="Blocked","BLOCKED",IF(I39="","",IF(TODAY()&gt;J39,"OVERDUE",IF(TODAY()&gt;=I39,"Active","Upcoming")))))</f>
        <v/>
      </c>
      <c r="Q39" s="31" t="n"/>
      <c r="R39" s="31" t="n"/>
    </row>
    <row r="40">
      <c r="A40" s="29" t="inlineStr">
        <is>
          <t>MB-T38</t>
        </is>
      </c>
      <c r="B40" s="29" t="inlineStr">
        <is>
          <t>Product</t>
        </is>
      </c>
      <c r="C40" s="29" t="inlineStr">
        <is>
          <t>Launch</t>
        </is>
      </c>
      <c r="D40" s="29" t="inlineStr">
        <is>
          <t>Public benchmark + reliability report (README + blog)</t>
        </is>
      </c>
      <c r="E40" s="29" t="inlineStr">
        <is>
          <t>Report links Dashboard evidence</t>
        </is>
      </c>
      <c r="F40" s="29" t="inlineStr">
        <is>
          <t>P1</t>
        </is>
      </c>
      <c r="G40" s="29" t="n">
        <v>6</v>
      </c>
      <c r="H40" s="29" t="n">
        <v>14</v>
      </c>
      <c r="I40" s="30">
        <f>IF(H40="","",README!$C$6+(H40-1)*7)</f>
        <v/>
      </c>
      <c r="J40" s="30">
        <f>IF(H40="","",README!$C$6+(H40-1)*7+4)</f>
        <v/>
      </c>
      <c r="K40" s="31" t="inlineStr">
        <is>
          <t>Not Started</t>
        </is>
      </c>
      <c r="L40" s="32" t="n"/>
      <c r="M40" s="33">
        <f>IF(K40="Done",1,IF(L40="",0,MIN(1,L40)))</f>
        <v/>
      </c>
      <c r="N40" s="31" t="n"/>
      <c r="O40" s="34" t="n"/>
      <c r="P40" s="29">
        <f>IF(K40="Done",IF(O40="","Done",IF(J40="","Done",IF(O40&lt;=J40,"On time","Late"))),IF(K40="Blocked","BLOCKED",IF(I40="","",IF(TODAY()&gt;J40,"OVERDUE",IF(TODAY()&gt;=I40,"Active","Upcoming")))))</f>
        <v/>
      </c>
      <c r="Q40" s="31" t="n"/>
      <c r="R40" s="31" t="n"/>
    </row>
  </sheetData>
  <autoFilter ref="A1:R600"/>
  <conditionalFormatting sqref="K2:K600">
    <cfRule type="expression" priority="1" dxfId="0">
      <formula>$K2="Done"</formula>
    </cfRule>
    <cfRule type="expression" priority="2" dxfId="3">
      <formula>$K2="In Progress"</formula>
    </cfRule>
    <cfRule type="expression" priority="3" dxfId="2">
      <formula>$K2="Blocked"</formula>
    </cfRule>
  </conditionalFormatting>
  <conditionalFormatting sqref="P2:P600">
    <cfRule type="expression" priority="4" dxfId="2">
      <formula>$P2="OVERDUE"</formula>
    </cfRule>
    <cfRule type="expression" priority="5" dxfId="2">
      <formula>$P2="BLOCKED"</formula>
    </cfRule>
    <cfRule type="expression" priority="6" dxfId="1">
      <formula>$P2="Late"</formula>
    </cfRule>
    <cfRule type="expression" priority="7" dxfId="0">
      <formula>$P2="On time"</formula>
    </cfRule>
    <cfRule type="expression" priority="8" dxfId="0">
      <formula>$P2="Done"</formula>
    </cfRule>
    <cfRule type="expression" priority="9" dxfId="3">
      <formula>$P2="Active"</formula>
    </cfRule>
  </conditionalFormatting>
  <conditionalFormatting sqref="M2:M600">
    <cfRule type="dataBar" priority="10">
      <dataBar>
        <cfvo type="num" val="0"/>
        <cfvo type="num" val="1"/>
        <color rgb="005B9BD5"/>
      </dataBar>
    </cfRule>
  </conditionalFormatting>
  <dataValidations count="3">
    <dataValidation sqref="K2:K600" showDropDown="0" showInputMessage="0" showErrorMessage="0" allowBlank="1" type="list">
      <formula1>"Not Started,In Progress,Blocked,Done"</formula1>
    </dataValidation>
    <dataValidation sqref="F2:F600" showDropDown="0" showInputMessage="0" showErrorMessage="0" allowBlank="1" type="list">
      <formula1>"P0,P1,P2"</formula1>
    </dataValidation>
    <dataValidation sqref="B2:B600" showDropDown="0" showInputMessage="0" showErrorMessage="0" allowBlank="1" type="list">
      <formula1>"Platform,Product,EXAMPLE"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K4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44" customWidth="1" min="4" max="4"/>
    <col width="22" customWidth="1" min="5" max="5"/>
    <col width="26" customWidth="1" min="6" max="6"/>
    <col width="24" customWidth="1" min="7" max="7"/>
    <col width="22" customWidth="1" min="8" max="8"/>
    <col width="24" customWidth="1" min="9" max="9"/>
    <col width="34" customWidth="1" min="10" max="10"/>
    <col width="26" customWidth="1" min="11" max="11"/>
  </cols>
  <sheetData>
    <row r="1" ht="32" customHeight="1">
      <c r="A1" s="11" t="inlineStr">
        <is>
          <t>Test Type</t>
        </is>
      </c>
      <c r="B1" s="11" t="inlineStr">
        <is>
          <t>Category</t>
        </is>
      </c>
      <c r="C1" s="11" t="inlineStr">
        <is>
          <t>Box</t>
        </is>
      </c>
      <c r="D1" s="11" t="inlineStr">
        <is>
          <t>What It Proves</t>
        </is>
      </c>
      <c r="E1" s="11" t="inlineStr">
        <is>
          <t>When It Runs</t>
        </is>
      </c>
      <c r="F1" s="11" t="inlineStr">
        <is>
          <t>Tools — Java</t>
        </is>
      </c>
      <c r="G1" s="11" t="inlineStr">
        <is>
          <t>Tools — Go</t>
        </is>
      </c>
      <c r="H1" s="11" t="inlineStr">
        <is>
          <t>Tools — Rust</t>
        </is>
      </c>
      <c r="I1" s="11" t="inlineStr">
        <is>
          <t>Tools — Python</t>
        </is>
      </c>
      <c r="J1" s="11" t="inlineStr">
        <is>
          <t>Pass Gate</t>
        </is>
      </c>
      <c r="K1" s="11" t="inlineStr">
        <is>
          <t>Evidence to Show</t>
        </is>
      </c>
    </row>
    <row r="2">
      <c r="A2" s="29" t="inlineStr">
        <is>
          <t>Unit</t>
        </is>
      </c>
      <c r="B2" s="29" t="inlineStr">
        <is>
          <t>Functional</t>
        </is>
      </c>
      <c r="C2" s="29" t="inlineStr">
        <is>
          <t>White</t>
        </is>
      </c>
      <c r="D2" s="29" t="inlineStr">
        <is>
          <t>Each function/class behaves correctly in isolation</t>
        </is>
      </c>
      <c r="E2" s="29" t="inlineStr">
        <is>
          <t>Pre-commit + every PR</t>
        </is>
      </c>
      <c r="F2" s="29" t="inlineStr">
        <is>
          <t>JUnit 5, AssertJ, Mockito</t>
        </is>
      </c>
      <c r="G2" s="29" t="inlineStr">
        <is>
          <t>testing, testify</t>
        </is>
      </c>
      <c r="H2" s="29" t="inlineStr">
        <is>
          <t>cargo test</t>
        </is>
      </c>
      <c r="I2" s="29" t="inlineStr">
        <is>
          <t>pytest</t>
        </is>
      </c>
      <c r="J2" s="29" t="inlineStr">
        <is>
          <t>100% pass; coverage targets met</t>
        </is>
      </c>
      <c r="K2" s="29" t="inlineStr">
        <is>
          <t>CI run + coverage report</t>
        </is>
      </c>
    </row>
    <row r="3">
      <c r="A3" s="29" t="inlineStr">
        <is>
          <t>Integration</t>
        </is>
      </c>
      <c r="B3" s="29" t="inlineStr">
        <is>
          <t>Functional</t>
        </is>
      </c>
      <c r="C3" s="29" t="inlineStr">
        <is>
          <t>Grey</t>
        </is>
      </c>
      <c r="D3" s="29" t="inlineStr">
        <is>
          <t>Components work with real DB/Kafka/Redis</t>
        </is>
      </c>
      <c r="E3" s="29" t="inlineStr">
        <is>
          <t>Every PR</t>
        </is>
      </c>
      <c r="F3" s="29" t="inlineStr">
        <is>
          <t>Testcontainers, Spring Boot Test</t>
        </is>
      </c>
      <c r="G3" s="29" t="inlineStr">
        <is>
          <t>testcontainers-go</t>
        </is>
      </c>
      <c r="H3" s="29" t="inlineStr">
        <is>
          <t>testcontainers-rs</t>
        </is>
      </c>
      <c r="I3" s="29" t="inlineStr">
        <is>
          <t>testcontainers-python</t>
        </is>
      </c>
      <c r="J3" s="29" t="inlineStr">
        <is>
          <t>100% pass</t>
        </is>
      </c>
      <c r="K3" s="29" t="inlineStr">
        <is>
          <t>CI run</t>
        </is>
      </c>
    </row>
    <row r="4">
      <c r="A4" s="29" t="inlineStr">
        <is>
          <t>Component / Service</t>
        </is>
      </c>
      <c r="B4" s="29" t="inlineStr">
        <is>
          <t>Functional</t>
        </is>
      </c>
      <c r="C4" s="29" t="inlineStr">
        <is>
          <t>Grey</t>
        </is>
      </c>
      <c r="D4" s="29" t="inlineStr">
        <is>
          <t>One service works end-to-end with dependencies stubbed</t>
        </is>
      </c>
      <c r="E4" s="29" t="inlineStr">
        <is>
          <t>Every PR</t>
        </is>
      </c>
      <c r="F4" s="29" t="inlineStr">
        <is>
          <t>WireMock, RestAssured</t>
        </is>
      </c>
      <c r="G4" s="29" t="inlineStr">
        <is>
          <t>httptest, gomock</t>
        </is>
      </c>
      <c r="H4" s="29" t="inlineStr">
        <is>
          <t>wiremock-rs</t>
        </is>
      </c>
      <c r="I4" s="29" t="inlineStr">
        <is>
          <t>respx, pytest-httpx</t>
        </is>
      </c>
      <c r="J4" s="29" t="inlineStr">
        <is>
          <t>100% pass</t>
        </is>
      </c>
      <c r="K4" s="29" t="inlineStr">
        <is>
          <t>CI run</t>
        </is>
      </c>
    </row>
    <row r="5">
      <c r="A5" s="29" t="inlineStr">
        <is>
          <t>Contract (consumer-driven)</t>
        </is>
      </c>
      <c r="B5" s="29" t="inlineStr">
        <is>
          <t>Functional</t>
        </is>
      </c>
      <c r="C5" s="29" t="inlineStr">
        <is>
          <t>Black</t>
        </is>
      </c>
      <c r="D5" s="29" t="inlineStr">
        <is>
          <t>API producer and consumers agree; no breaking changes</t>
        </is>
      </c>
      <c r="E5" s="29" t="inlineStr">
        <is>
          <t>Every PR</t>
        </is>
      </c>
      <c r="F5" s="29" t="inlineStr">
        <is>
          <t>Pact JVM</t>
        </is>
      </c>
      <c r="G5" s="29" t="inlineStr">
        <is>
          <t>pact-go</t>
        </is>
      </c>
      <c r="H5" s="29" t="inlineStr">
        <is>
          <t>pact_consumer</t>
        </is>
      </c>
      <c r="I5" s="29" t="inlineStr">
        <is>
          <t>pact-python</t>
        </is>
      </c>
      <c r="J5" s="29" t="inlineStr">
        <is>
          <t>All pacts verified; buf/oasdiff breaking check passes</t>
        </is>
      </c>
      <c r="K5" s="29" t="inlineStr">
        <is>
          <t>Pact Broker matrix</t>
        </is>
      </c>
    </row>
    <row r="6">
      <c r="A6" s="29" t="inlineStr">
        <is>
          <t>API (schema-based)</t>
        </is>
      </c>
      <c r="B6" s="29" t="inlineStr">
        <is>
          <t>Functional</t>
        </is>
      </c>
      <c r="C6" s="29" t="inlineStr">
        <is>
          <t>Black</t>
        </is>
      </c>
      <c r="D6" s="29" t="inlineStr">
        <is>
          <t>Every endpoint honours its OpenAPI spec</t>
        </is>
      </c>
      <c r="E6" s="29" t="inlineStr">
        <is>
          <t>Every PR</t>
        </is>
      </c>
      <c r="F6" s="29" t="inlineStr">
        <is>
          <t>RestAssured</t>
        </is>
      </c>
      <c r="G6" s="29" t="inlineStr">
        <is>
          <t>Schemathesis (CLI)</t>
        </is>
      </c>
      <c r="H6" s="29" t="inlineStr">
        <is>
          <t>Schemathesis (CLI)</t>
        </is>
      </c>
      <c r="I6" s="29" t="inlineStr">
        <is>
          <t>Schemathesis</t>
        </is>
      </c>
      <c r="J6" s="29" t="inlineStr">
        <is>
          <t>0 spec violations, 0 5xx</t>
        </is>
      </c>
      <c r="K6" s="29" t="inlineStr">
        <is>
          <t>Schemathesis report</t>
        </is>
      </c>
    </row>
    <row r="7">
      <c r="A7" s="29" t="inlineStr">
        <is>
          <t>Functional</t>
        </is>
      </c>
      <c r="B7" s="29" t="inlineStr">
        <is>
          <t>Functional</t>
        </is>
      </c>
      <c r="C7" s="29" t="inlineStr">
        <is>
          <t>Black</t>
        </is>
      </c>
      <c r="D7" s="29" t="inlineStr">
        <is>
          <t>Features meet requirements from the user's view</t>
        </is>
      </c>
      <c r="E7" s="29" t="inlineStr">
        <is>
          <t>Every PR / nightly</t>
        </is>
      </c>
      <c r="F7" s="29" t="inlineStr">
        <is>
          <t>RestAssured, Cucumber</t>
        </is>
      </c>
      <c r="G7" s="29" t="inlineStr">
        <is>
          <t>godog</t>
        </is>
      </c>
      <c r="H7" s="29" t="inlineStr">
        <is>
          <t>cucumber-rs</t>
        </is>
      </c>
      <c r="I7" s="29" t="inlineStr">
        <is>
          <t>pytest-bdd</t>
        </is>
      </c>
      <c r="J7" s="29" t="inlineStr">
        <is>
          <t>100% pass on P0 cases</t>
        </is>
      </c>
      <c r="K7" s="29" t="inlineStr">
        <is>
          <t>Test report</t>
        </is>
      </c>
    </row>
    <row r="8">
      <c r="A8" s="29" t="inlineStr">
        <is>
          <t>End-to-End (E2E)</t>
        </is>
      </c>
      <c r="B8" s="29" t="inlineStr">
        <is>
          <t>Functional</t>
        </is>
      </c>
      <c r="C8" s="29" t="inlineStr">
        <is>
          <t>Black</t>
        </is>
      </c>
      <c r="D8" s="29" t="inlineStr">
        <is>
          <t>Full user journeys across UI + APIs + workers</t>
        </is>
      </c>
      <c r="E8" s="29" t="inlineStr">
        <is>
          <t>Nightly + pre-release</t>
        </is>
      </c>
      <c r="F8" s="29" t="inlineStr">
        <is>
          <t>Playwright</t>
        </is>
      </c>
      <c r="G8" s="29" t="inlineStr">
        <is>
          <t>Playwright</t>
        </is>
      </c>
      <c r="H8" s="29" t="inlineStr">
        <is>
          <t>Playwright</t>
        </is>
      </c>
      <c r="I8" s="29" t="inlineStr">
        <is>
          <t>Playwright</t>
        </is>
      </c>
      <c r="J8" s="29" t="inlineStr">
        <is>
          <t>100% pass on critical journeys</t>
        </is>
      </c>
      <c r="K8" s="29" t="inlineStr">
        <is>
          <t>Playwright trace/video</t>
        </is>
      </c>
    </row>
    <row r="9">
      <c r="A9" s="29" t="inlineStr">
        <is>
          <t>Smoke</t>
        </is>
      </c>
      <c r="B9" s="29" t="inlineStr">
        <is>
          <t>Functional</t>
        </is>
      </c>
      <c r="C9" s="29" t="inlineStr">
        <is>
          <t>Black</t>
        </is>
      </c>
      <c r="D9" s="29" t="inlineStr">
        <is>
          <t>Deployment is alive: health checks + 1 golden path</t>
        </is>
      </c>
      <c r="E9" s="29" t="inlineStr">
        <is>
          <t>After every deploy</t>
        </is>
      </c>
      <c r="F9" s="29" t="inlineStr">
        <is>
          <t>k6 / curl scripts</t>
        </is>
      </c>
      <c r="G9" s="29" t="inlineStr">
        <is>
          <t>k6</t>
        </is>
      </c>
      <c r="H9" s="29" t="inlineStr">
        <is>
          <t>k6</t>
        </is>
      </c>
      <c r="I9" s="29" t="inlineStr">
        <is>
          <t>k6</t>
        </is>
      </c>
      <c r="J9" s="29" t="inlineStr">
        <is>
          <t>Pass within 2 min or auto-rollback</t>
        </is>
      </c>
      <c r="K9" s="29" t="inlineStr">
        <is>
          <t>Deploy log</t>
        </is>
      </c>
    </row>
    <row r="10">
      <c r="A10" s="29" t="inlineStr">
        <is>
          <t>Sanity</t>
        </is>
      </c>
      <c r="B10" s="29" t="inlineStr">
        <is>
          <t>Functional</t>
        </is>
      </c>
      <c r="C10" s="29" t="inlineStr">
        <is>
          <t>Black</t>
        </is>
      </c>
      <c r="D10" s="29" t="inlineStr">
        <is>
          <t>A specific fix works before full regression</t>
        </is>
      </c>
      <c r="E10" s="29" t="inlineStr">
        <is>
          <t>Per hotfix</t>
        </is>
      </c>
      <c r="F10" s="29" t="inlineStr">
        <is>
          <t>Targeted suite</t>
        </is>
      </c>
      <c r="G10" s="29" t="inlineStr">
        <is>
          <t>Targeted suite</t>
        </is>
      </c>
      <c r="H10" s="29" t="inlineStr">
        <is>
          <t>Targeted suite</t>
        </is>
      </c>
      <c r="I10" s="29" t="inlineStr">
        <is>
          <t>Targeted suite</t>
        </is>
      </c>
      <c r="J10" s="29" t="inlineStr">
        <is>
          <t>Pass</t>
        </is>
      </c>
      <c r="K10" s="29" t="inlineStr">
        <is>
          <t>CI run</t>
        </is>
      </c>
    </row>
    <row r="11">
      <c r="A11" s="29" t="inlineStr">
        <is>
          <t>Regression</t>
        </is>
      </c>
      <c r="B11" s="29" t="inlineStr">
        <is>
          <t>Functional</t>
        </is>
      </c>
      <c r="C11" s="29" t="inlineStr">
        <is>
          <t>Black</t>
        </is>
      </c>
      <c r="D11" s="29" t="inlineStr">
        <is>
          <t>Old features still work after changes</t>
        </is>
      </c>
      <c r="E11" s="29" t="inlineStr">
        <is>
          <t>Nightly + pre-release</t>
        </is>
      </c>
      <c r="F11" s="29" t="inlineStr">
        <is>
          <t>Full suite / golden files</t>
        </is>
      </c>
      <c r="G11" s="29" t="inlineStr">
        <is>
          <t>Full suite / golden files</t>
        </is>
      </c>
      <c r="H11" s="29" t="inlineStr">
        <is>
          <t>insta snapshots</t>
        </is>
      </c>
      <c r="I11" s="29" t="inlineStr">
        <is>
          <t>syrupy snapshots</t>
        </is>
      </c>
      <c r="J11" s="29" t="inlineStr">
        <is>
          <t>0 new failures</t>
        </is>
      </c>
      <c r="K11" s="29" t="inlineStr">
        <is>
          <t>Nightly report</t>
        </is>
      </c>
    </row>
    <row r="12">
      <c r="A12" s="29" t="inlineStr">
        <is>
          <t>User Acceptance (UAT)</t>
        </is>
      </c>
      <c r="B12" s="29" t="inlineStr">
        <is>
          <t>Functional</t>
        </is>
      </c>
      <c r="C12" s="29" t="inlineStr">
        <is>
          <t>Black</t>
        </is>
      </c>
      <c r="D12" s="29" t="inlineStr">
        <is>
          <t>A target persona can do the job (e.g. finance closes month)</t>
        </is>
      </c>
      <c r="E12" s="29" t="inlineStr">
        <is>
          <t>Pre-release</t>
        </is>
      </c>
      <c r="F12" s="29" t="inlineStr">
        <is>
          <t>Scripted walkthrough</t>
        </is>
      </c>
      <c r="G12" s="29" t="inlineStr">
        <is>
          <t>Scripted walkthrough</t>
        </is>
      </c>
      <c r="H12" s="29" t="inlineStr">
        <is>
          <t>Scripted walkthrough</t>
        </is>
      </c>
      <c r="I12" s="29" t="inlineStr">
        <is>
          <t>Scripted walkthrough</t>
        </is>
      </c>
      <c r="J12" s="29" t="inlineStr">
        <is>
          <t>Persona signs off</t>
        </is>
      </c>
      <c r="K12" s="29" t="inlineStr">
        <is>
          <t>Recorded demo</t>
        </is>
      </c>
    </row>
    <row r="13">
      <c r="A13" s="29" t="inlineStr">
        <is>
          <t>Boundary value / Equivalence partitioning</t>
        </is>
      </c>
      <c r="B13" s="29" t="inlineStr">
        <is>
          <t>Functional</t>
        </is>
      </c>
      <c r="C13" s="29" t="inlineStr">
        <is>
          <t>Black</t>
        </is>
      </c>
      <c r="D13" s="29" t="inlineStr">
        <is>
          <t>Edges and classes of inputs behave correctly</t>
        </is>
      </c>
      <c r="E13" s="29" t="inlineStr">
        <is>
          <t>Every PR</t>
        </is>
      </c>
      <c r="F13" s="29" t="inlineStr">
        <is>
          <t>JUnit params</t>
        </is>
      </c>
      <c r="G13" s="29" t="inlineStr">
        <is>
          <t>table-driven tests</t>
        </is>
      </c>
      <c r="H13" s="29" t="inlineStr">
        <is>
          <t>rstest</t>
        </is>
      </c>
      <c r="I13" s="29" t="inlineStr">
        <is>
          <t>pytest.mark.parametrize</t>
        </is>
      </c>
      <c r="J13" s="29" t="inlineStr">
        <is>
          <t>All edges covered</t>
        </is>
      </c>
      <c r="K13" s="29" t="inlineStr">
        <is>
          <t>Test list</t>
        </is>
      </c>
    </row>
    <row r="14">
      <c r="A14" s="29" t="inlineStr">
        <is>
          <t>Statement / Branch coverage</t>
        </is>
      </c>
      <c r="B14" s="29" t="inlineStr">
        <is>
          <t>Structural</t>
        </is>
      </c>
      <c r="C14" s="29" t="inlineStr">
        <is>
          <t>White</t>
        </is>
      </c>
      <c r="D14" s="29" t="inlineStr">
        <is>
          <t>Code paths are actually exercised</t>
        </is>
      </c>
      <c r="E14" s="29" t="inlineStr">
        <is>
          <t>Every PR</t>
        </is>
      </c>
      <c r="F14" s="29" t="inlineStr">
        <is>
          <t>JaCoCo</t>
        </is>
      </c>
      <c r="G14" s="29" t="inlineStr">
        <is>
          <t>go test -cover</t>
        </is>
      </c>
      <c r="H14" s="29" t="inlineStr">
        <is>
          <t>cargo-llvm-cov</t>
        </is>
      </c>
      <c r="I14" s="29" t="inlineStr">
        <is>
          <t>coverage.py</t>
        </is>
      </c>
      <c r="J14" s="29" t="inlineStr">
        <is>
          <t>Line &gt;= 85%, branch &gt;= 80%</t>
        </is>
      </c>
      <c r="K14" s="29" t="inlineStr">
        <is>
          <t>Coverage sheet + Codecov</t>
        </is>
      </c>
    </row>
    <row r="15">
      <c r="A15" s="29" t="inlineStr">
        <is>
          <t>Mutation</t>
        </is>
      </c>
      <c r="B15" s="29" t="inlineStr">
        <is>
          <t>Structural</t>
        </is>
      </c>
      <c r="C15" s="29" t="inlineStr">
        <is>
          <t>White</t>
        </is>
      </c>
      <c r="D15" s="29" t="inlineStr">
        <is>
          <t>Tests catch real bugs, not just run code</t>
        </is>
      </c>
      <c r="E15" s="29" t="inlineStr">
        <is>
          <t>Nightly</t>
        </is>
      </c>
      <c r="F15" s="29" t="inlineStr">
        <is>
          <t>PIT (pitest)</t>
        </is>
      </c>
      <c r="G15" s="29" t="inlineStr">
        <is>
          <t>go-mutesting</t>
        </is>
      </c>
      <c r="H15" s="29" t="inlineStr">
        <is>
          <t>cargo-mutants</t>
        </is>
      </c>
      <c r="I15" s="29" t="inlineStr">
        <is>
          <t>mutmut</t>
        </is>
      </c>
      <c r="J15" s="29" t="inlineStr">
        <is>
          <t>Mutation score &gt;= 70%</t>
        </is>
      </c>
      <c r="K15" s="29" t="inlineStr">
        <is>
          <t>Mutation report</t>
        </is>
      </c>
    </row>
    <row r="16">
      <c r="A16" s="29" t="inlineStr">
        <is>
          <t>Static analysis / Lint</t>
        </is>
      </c>
      <c r="B16" s="29" t="inlineStr">
        <is>
          <t>Structural</t>
        </is>
      </c>
      <c r="C16" s="29" t="inlineStr">
        <is>
          <t>White</t>
        </is>
      </c>
      <c r="D16" s="29" t="inlineStr">
        <is>
          <t>Code smells, bugs, style issues</t>
        </is>
      </c>
      <c r="E16" s="29" t="inlineStr">
        <is>
          <t>Pre-commit + PR</t>
        </is>
      </c>
      <c r="F16" s="29" t="inlineStr">
        <is>
          <t>SpotBugs, Error Prone, Checkstyle</t>
        </is>
      </c>
      <c r="G16" s="29" t="inlineStr">
        <is>
          <t>golangci-lint, staticcheck</t>
        </is>
      </c>
      <c r="H16" s="29" t="inlineStr">
        <is>
          <t>clippy</t>
        </is>
      </c>
      <c r="I16" s="29" t="inlineStr">
        <is>
          <t>ruff, mypy</t>
        </is>
      </c>
      <c r="J16" s="29" t="inlineStr">
        <is>
          <t>0 errors</t>
        </is>
      </c>
      <c r="K16" s="29" t="inlineStr">
        <is>
          <t>CI run</t>
        </is>
      </c>
    </row>
    <row r="17">
      <c r="A17" s="29" t="inlineStr">
        <is>
          <t>Property-based</t>
        </is>
      </c>
      <c r="B17" s="29" t="inlineStr">
        <is>
          <t>Functional</t>
        </is>
      </c>
      <c r="C17" s="29" t="inlineStr">
        <is>
          <t>White</t>
        </is>
      </c>
      <c r="D17" s="29" t="inlineStr">
        <is>
          <t>Invariants hold for thousands of random inputs</t>
        </is>
      </c>
      <c r="E17" s="29" t="inlineStr">
        <is>
          <t>Every PR</t>
        </is>
      </c>
      <c r="F17" s="29" t="inlineStr">
        <is>
          <t>jqwik</t>
        </is>
      </c>
      <c r="G17" s="29" t="inlineStr">
        <is>
          <t>rapid, gopter</t>
        </is>
      </c>
      <c r="H17" s="29" t="inlineStr">
        <is>
          <t>proptest</t>
        </is>
      </c>
      <c r="I17" s="29" t="inlineStr">
        <is>
          <t>Hypothesis</t>
        </is>
      </c>
      <c r="J17" s="29" t="inlineStr">
        <is>
          <t>0 counter-examples (seed logged)</t>
        </is>
      </c>
      <c r="K17" s="29" t="inlineStr">
        <is>
          <t>CI run with seed</t>
        </is>
      </c>
    </row>
    <row r="18">
      <c r="A18" s="29" t="inlineStr">
        <is>
          <t>Fuzz</t>
        </is>
      </c>
      <c r="B18" s="29" t="inlineStr">
        <is>
          <t>Security</t>
        </is>
      </c>
      <c r="C18" s="29" t="inlineStr">
        <is>
          <t>White</t>
        </is>
      </c>
      <c r="D18" s="29" t="inlineStr">
        <is>
          <t>Parsers/APIs don't crash on malformed input</t>
        </is>
      </c>
      <c r="E18" s="29" t="inlineStr">
        <is>
          <t>Nightly (1 h)</t>
        </is>
      </c>
      <c r="F18" s="29" t="inlineStr">
        <is>
          <t>Jazzer</t>
        </is>
      </c>
      <c r="G18" s="29" t="inlineStr">
        <is>
          <t>go test -fuzz</t>
        </is>
      </c>
      <c r="H18" s="29" t="inlineStr">
        <is>
          <t>cargo-fuzz</t>
        </is>
      </c>
      <c r="I18" s="29" t="inlineStr">
        <is>
          <t>Atheris</t>
        </is>
      </c>
      <c r="J18" s="29" t="inlineStr">
        <is>
          <t>0 crashes in 1 h</t>
        </is>
      </c>
      <c r="K18" s="29" t="inlineStr">
        <is>
          <t>Fuzz corpus + log</t>
        </is>
      </c>
    </row>
    <row r="19">
      <c r="A19" s="29" t="inlineStr">
        <is>
          <t>Concurrency / Race</t>
        </is>
      </c>
      <c r="B19" s="29" t="inlineStr">
        <is>
          <t>Functional</t>
        </is>
      </c>
      <c r="C19" s="29" t="inlineStr">
        <is>
          <t>White</t>
        </is>
      </c>
      <c r="D19" s="29" t="inlineStr">
        <is>
          <t>No data races, lost updates, deadlocks</t>
        </is>
      </c>
      <c r="E19" s="29" t="inlineStr">
        <is>
          <t>Every PR</t>
        </is>
      </c>
      <c r="F19" s="29" t="inlineStr">
        <is>
          <t>jcstress, Lincheck</t>
        </is>
      </c>
      <c r="G19" s="29" t="inlineStr">
        <is>
          <t>go test -race</t>
        </is>
      </c>
      <c r="H19" s="29" t="inlineStr">
        <is>
          <t>loom, miri</t>
        </is>
      </c>
      <c r="I19" s="29" t="inlineStr">
        <is>
          <t>pytest-xdist stress</t>
        </is>
      </c>
      <c r="J19" s="29" t="inlineStr">
        <is>
          <t>0 races</t>
        </is>
      </c>
      <c r="K19" s="29" t="inlineStr">
        <is>
          <t>CI run</t>
        </is>
      </c>
    </row>
    <row r="20">
      <c r="A20" s="29" t="inlineStr">
        <is>
          <t>Idempotency</t>
        </is>
      </c>
      <c r="B20" s="29" t="inlineStr">
        <is>
          <t>Functional</t>
        </is>
      </c>
      <c r="C20" s="29" t="inlineStr">
        <is>
          <t>Grey</t>
        </is>
      </c>
      <c r="D20" s="29" t="inlineStr">
        <is>
          <t>Retries never duplicate side effects</t>
        </is>
      </c>
      <c r="E20" s="29" t="inlineStr">
        <is>
          <t>Every PR</t>
        </is>
      </c>
      <c r="F20" s="29" t="inlineStr">
        <is>
          <t>Custom harness</t>
        </is>
      </c>
      <c r="G20" s="29" t="inlineStr">
        <is>
          <t>Custom harness</t>
        </is>
      </c>
      <c r="H20" s="29" t="inlineStr">
        <is>
          <t>Custom harness</t>
        </is>
      </c>
      <c r="I20" s="29" t="inlineStr">
        <is>
          <t>Custom harness</t>
        </is>
      </c>
      <c r="J20" s="29" t="inlineStr">
        <is>
          <t>Exactly one effect per key</t>
        </is>
      </c>
      <c r="K20" s="29" t="inlineStr">
        <is>
          <t>Test report</t>
        </is>
      </c>
    </row>
    <row r="21">
      <c r="A21" s="29" t="inlineStr">
        <is>
          <t>Data integrity / Invariant</t>
        </is>
      </c>
      <c r="B21" s="29" t="inlineStr">
        <is>
          <t>Functional</t>
        </is>
      </c>
      <c r="C21" s="29" t="inlineStr">
        <is>
          <t>Grey</t>
        </is>
      </c>
      <c r="D21" s="29" t="inlineStr">
        <is>
          <t>Business invariants hold (ledger balances, no lost ops)</t>
        </is>
      </c>
      <c r="E21" s="29" t="inlineStr">
        <is>
          <t>Nightly + during chaos</t>
        </is>
      </c>
      <c r="F21" s="29" t="inlineStr">
        <is>
          <t>Invariant checker job</t>
        </is>
      </c>
      <c r="G21" s="29" t="inlineStr">
        <is>
          <t>Invariant checker job</t>
        </is>
      </c>
      <c r="H21" s="29" t="inlineStr">
        <is>
          <t>Invariant checker job</t>
        </is>
      </c>
      <c r="I21" s="29" t="inlineStr">
        <is>
          <t>Invariant checker job</t>
        </is>
      </c>
      <c r="J21" s="29" t="inlineStr">
        <is>
          <t>0 violations</t>
        </is>
      </c>
      <c r="K21" s="29" t="inlineStr">
        <is>
          <t>Checker log</t>
        </is>
      </c>
    </row>
    <row r="22">
      <c r="A22" s="29" t="inlineStr">
        <is>
          <t>Database migration</t>
        </is>
      </c>
      <c r="B22" s="29" t="inlineStr">
        <is>
          <t>Functional</t>
        </is>
      </c>
      <c r="C22" s="29" t="inlineStr">
        <is>
          <t>Grey</t>
        </is>
      </c>
      <c r="D22" s="29" t="inlineStr">
        <is>
          <t>Schema migrations up/down work on real data volume</t>
        </is>
      </c>
      <c r="E22" s="29" t="inlineStr">
        <is>
          <t>Every PR touching schema</t>
        </is>
      </c>
      <c r="F22" s="29" t="inlineStr">
        <is>
          <t>Flyway + Testcontainers</t>
        </is>
      </c>
      <c r="G22" s="29" t="inlineStr">
        <is>
          <t>golang-migrate</t>
        </is>
      </c>
      <c r="H22" s="29" t="inlineStr">
        <is>
          <t>sqlx migrate</t>
        </is>
      </c>
      <c r="I22" s="29" t="inlineStr">
        <is>
          <t>Alembic</t>
        </is>
      </c>
      <c r="J22" s="29" t="inlineStr">
        <is>
          <t>Zero-downtime; rollback works</t>
        </is>
      </c>
      <c r="K22" s="29" t="inlineStr">
        <is>
          <t>CI run</t>
        </is>
      </c>
    </row>
    <row r="23">
      <c r="A23" s="29" t="inlineStr">
        <is>
          <t>Compatibility (SDK / version)</t>
        </is>
      </c>
      <c r="B23" s="29" t="inlineStr">
        <is>
          <t>Functional</t>
        </is>
      </c>
      <c r="C23" s="29" t="inlineStr">
        <is>
          <t>Black</t>
        </is>
      </c>
      <c r="D23" s="29" t="inlineStr">
        <is>
          <t>Old clients keep working; SDKs interoperate</t>
        </is>
      </c>
      <c r="E23" s="29" t="inlineStr">
        <is>
          <t>Pre-release</t>
        </is>
      </c>
      <c r="F23" s="29" t="inlineStr">
        <is>
          <t>Matrix build</t>
        </is>
      </c>
      <c r="G23" s="29" t="inlineStr">
        <is>
          <t>Matrix build</t>
        </is>
      </c>
      <c r="H23" s="29" t="inlineStr">
        <is>
          <t>Matrix build</t>
        </is>
      </c>
      <c r="I23" s="29" t="inlineStr">
        <is>
          <t>tox / nox</t>
        </is>
      </c>
      <c r="J23" s="29" t="inlineStr">
        <is>
          <t>All matrix cells pass</t>
        </is>
      </c>
      <c r="K23" s="29" t="inlineStr">
        <is>
          <t>Matrix report</t>
        </is>
      </c>
    </row>
    <row r="24">
      <c r="A24" s="29" t="inlineStr">
        <is>
          <t>Performance benchmark (micro)</t>
        </is>
      </c>
      <c r="B24" s="29" t="inlineStr">
        <is>
          <t>Non-functional</t>
        </is>
      </c>
      <c r="C24" s="29" t="inlineStr">
        <is>
          <t>White</t>
        </is>
      </c>
      <c r="D24" s="29" t="inlineStr">
        <is>
          <t>Hot-path speed and allocations, tracked over time</t>
        </is>
      </c>
      <c r="E24" s="29" t="inlineStr">
        <is>
          <t>Nightly</t>
        </is>
      </c>
      <c r="F24" s="29" t="inlineStr">
        <is>
          <t>JMH</t>
        </is>
      </c>
      <c r="G24" s="29" t="inlineStr">
        <is>
          <t>go test -bench, benchstat</t>
        </is>
      </c>
      <c r="H24" s="29" t="inlineStr">
        <is>
          <t>criterion</t>
        </is>
      </c>
      <c r="I24" s="29" t="inlineStr">
        <is>
          <t>pytest-benchmark</t>
        </is>
      </c>
      <c r="J24" s="29" t="inlineStr">
        <is>
          <t>No regression &gt; 5%</t>
        </is>
      </c>
      <c r="K24" s="29" t="inlineStr">
        <is>
          <t>Benchmark history</t>
        </is>
      </c>
    </row>
    <row r="25">
      <c r="A25" s="29" t="inlineStr">
        <is>
          <t>Load</t>
        </is>
      </c>
      <c r="B25" s="29" t="inlineStr">
        <is>
          <t>Non-functional</t>
        </is>
      </c>
      <c r="C25" s="29" t="inlineStr">
        <is>
          <t>Black</t>
        </is>
      </c>
      <c r="D25" s="29" t="inlineStr">
        <is>
          <t>System meets SLOs at expected peak traffic</t>
        </is>
      </c>
      <c r="E25" s="29" t="inlineStr">
        <is>
          <t>Pre-release</t>
        </is>
      </c>
      <c r="F25" s="29" t="inlineStr">
        <is>
          <t>Gatling</t>
        </is>
      </c>
      <c r="G25" s="29" t="inlineStr">
        <is>
          <t>k6</t>
        </is>
      </c>
      <c r="H25" s="29" t="inlineStr">
        <is>
          <t>k6, Goose</t>
        </is>
      </c>
      <c r="I25" s="29" t="inlineStr">
        <is>
          <t>Locust</t>
        </is>
      </c>
      <c r="J25" s="29" t="inlineStr">
        <is>
          <t>p99 and error rate within SLO</t>
        </is>
      </c>
      <c r="K25" s="29" t="inlineStr">
        <is>
          <t>k6/Gatling HTML report</t>
        </is>
      </c>
    </row>
    <row r="26">
      <c r="A26" s="29" t="inlineStr">
        <is>
          <t>Stress / Breakpoint</t>
        </is>
      </c>
      <c r="B26" s="29" t="inlineStr">
        <is>
          <t>Non-functional</t>
        </is>
      </c>
      <c r="C26" s="29" t="inlineStr">
        <is>
          <t>Black</t>
        </is>
      </c>
      <c r="D26" s="29" t="inlineStr">
        <is>
          <t>Where it breaks and that it fails gracefully</t>
        </is>
      </c>
      <c r="E26" s="29" t="inlineStr">
        <is>
          <t>Pre-release</t>
        </is>
      </c>
      <c r="F26" s="29" t="inlineStr">
        <is>
          <t>Gatling</t>
        </is>
      </c>
      <c r="G26" s="29" t="inlineStr">
        <is>
          <t>k6</t>
        </is>
      </c>
      <c r="H26" s="29" t="inlineStr">
        <is>
          <t>k6</t>
        </is>
      </c>
      <c r="I26" s="29" t="inlineStr">
        <is>
          <t>Locust</t>
        </is>
      </c>
      <c r="J26" s="29" t="inlineStr">
        <is>
          <t>Graceful 429/503; no data loss; breaking point recorded</t>
        </is>
      </c>
      <c r="K26" s="29" t="inlineStr">
        <is>
          <t>Report + Grafana snapshot</t>
        </is>
      </c>
    </row>
    <row r="27">
      <c r="A27" s="29" t="inlineStr">
        <is>
          <t>Spike</t>
        </is>
      </c>
      <c r="B27" s="29" t="inlineStr">
        <is>
          <t>Non-functional</t>
        </is>
      </c>
      <c r="C27" s="29" t="inlineStr">
        <is>
          <t>Black</t>
        </is>
      </c>
      <c r="D27" s="29" t="inlineStr">
        <is>
          <t>Sudden traffic jumps are absorbed (autoscale, queues)</t>
        </is>
      </c>
      <c r="E27" s="29" t="inlineStr">
        <is>
          <t>Pre-release</t>
        </is>
      </c>
      <c r="F27" s="29" t="inlineStr">
        <is>
          <t>Gatling</t>
        </is>
      </c>
      <c r="G27" s="29" t="inlineStr">
        <is>
          <t>k6</t>
        </is>
      </c>
      <c r="H27" s="29" t="inlineStr">
        <is>
          <t>k6</t>
        </is>
      </c>
      <c r="I27" s="29" t="inlineStr">
        <is>
          <t>Locust</t>
        </is>
      </c>
      <c r="J27" s="29" t="inlineStr">
        <is>
          <t>Error rate &lt; 1% during spike</t>
        </is>
      </c>
      <c r="K27" s="29" t="inlineStr">
        <is>
          <t>Report</t>
        </is>
      </c>
    </row>
    <row r="28">
      <c r="A28" s="29" t="inlineStr">
        <is>
          <t>Soak / Endurance</t>
        </is>
      </c>
      <c r="B28" s="29" t="inlineStr">
        <is>
          <t>Non-functional</t>
        </is>
      </c>
      <c r="C28" s="29" t="inlineStr">
        <is>
          <t>Black</t>
        </is>
      </c>
      <c r="D28" s="29" t="inlineStr">
        <is>
          <t>No memory leaks or slow degradation over hours</t>
        </is>
      </c>
      <c r="E28" s="29" t="inlineStr">
        <is>
          <t>Weekly (8-24 h)</t>
        </is>
      </c>
      <c r="F28" s="29" t="inlineStr">
        <is>
          <t>Gatling + JFR</t>
        </is>
      </c>
      <c r="G28" s="29" t="inlineStr">
        <is>
          <t>k6 + pprof</t>
        </is>
      </c>
      <c r="H28" s="29" t="inlineStr">
        <is>
          <t>k6 + heaptrack</t>
        </is>
      </c>
      <c r="I28" s="29" t="inlineStr">
        <is>
          <t>Locust + memray</t>
        </is>
      </c>
      <c r="J28" s="29" t="inlineStr">
        <is>
          <t>Memory growth &lt; 5%; p99 stable</t>
        </is>
      </c>
      <c r="K28" s="29" t="inlineStr">
        <is>
          <t>Grafana 24 h snapshot</t>
        </is>
      </c>
    </row>
    <row r="29">
      <c r="A29" s="29" t="inlineStr">
        <is>
          <t>Scalability</t>
        </is>
      </c>
      <c r="B29" s="29" t="inlineStr">
        <is>
          <t>Non-functional</t>
        </is>
      </c>
      <c r="C29" s="29" t="inlineStr">
        <is>
          <t>Black</t>
        </is>
      </c>
      <c r="D29" s="29" t="inlineStr">
        <is>
          <t>Throughput grows near-linearly with nodes</t>
        </is>
      </c>
      <c r="E29" s="29" t="inlineStr">
        <is>
          <t>Pre-release</t>
        </is>
      </c>
      <c r="F29" s="29" t="inlineStr">
        <is>
          <t>Gatling</t>
        </is>
      </c>
      <c r="G29" s="29" t="inlineStr">
        <is>
          <t>k6</t>
        </is>
      </c>
      <c r="H29" s="29" t="inlineStr">
        <is>
          <t>k6</t>
        </is>
      </c>
      <c r="I29" s="29" t="inlineStr">
        <is>
          <t>Locust</t>
        </is>
      </c>
      <c r="J29" s="29" t="inlineStr">
        <is>
          <t>2x nodes &gt;= 1.7x throughput</t>
        </is>
      </c>
      <c r="K29" s="29" t="inlineStr">
        <is>
          <t>Scaling chart</t>
        </is>
      </c>
    </row>
    <row r="30">
      <c r="A30" s="29" t="inlineStr">
        <is>
          <t>Volume</t>
        </is>
      </c>
      <c r="B30" s="29" t="inlineStr">
        <is>
          <t>Non-functional</t>
        </is>
      </c>
      <c r="C30" s="29" t="inlineStr">
        <is>
          <t>Black</t>
        </is>
      </c>
      <c r="D30" s="29" t="inlineStr">
        <is>
          <t>Works with production-size data (TBs, millions of rows)</t>
        </is>
      </c>
      <c r="E30" s="29" t="inlineStr">
        <is>
          <t>Pre-release</t>
        </is>
      </c>
      <c r="F30" s="29" t="inlineStr">
        <is>
          <t>Data generator + suite</t>
        </is>
      </c>
      <c r="G30" s="29" t="inlineStr">
        <is>
          <t>Data generator + suite</t>
        </is>
      </c>
      <c r="H30" s="29" t="inlineStr">
        <is>
          <t>Data generator + suite</t>
        </is>
      </c>
      <c r="I30" s="29" t="inlineStr">
        <is>
          <t>Data generator + suite</t>
        </is>
      </c>
      <c r="J30" s="29" t="inlineStr">
        <is>
          <t>Query SLOs met at volume</t>
        </is>
      </c>
      <c r="K30" s="29" t="inlineStr">
        <is>
          <t>Report</t>
        </is>
      </c>
    </row>
    <row r="31">
      <c r="A31" s="29" t="inlineStr">
        <is>
          <t>Capacity planning</t>
        </is>
      </c>
      <c r="B31" s="29" t="inlineStr">
        <is>
          <t>Non-functional</t>
        </is>
      </c>
      <c r="C31" s="29" t="inlineStr">
        <is>
          <t>Grey</t>
        </is>
      </c>
      <c r="D31" s="29" t="inlineStr">
        <is>
          <t>Resources needed per unit of load; cost per tenant</t>
        </is>
      </c>
      <c r="E31" s="29" t="inlineStr">
        <is>
          <t>Per release</t>
        </is>
      </c>
      <c r="F31" s="29" t="inlineStr">
        <is>
          <t>Load + metrics</t>
        </is>
      </c>
      <c r="G31" s="29" t="inlineStr">
        <is>
          <t>Load + metrics</t>
        </is>
      </c>
      <c r="H31" s="29" t="inlineStr">
        <is>
          <t>Load + metrics</t>
        </is>
      </c>
      <c r="I31" s="29" t="inlineStr">
        <is>
          <t>Load + metrics</t>
        </is>
      </c>
      <c r="J31" s="29" t="inlineStr">
        <is>
          <t>Capacity model documented</t>
        </is>
      </c>
      <c r="K31" s="29" t="inlineStr">
        <is>
          <t>Capacity sheet in design doc</t>
        </is>
      </c>
    </row>
    <row r="32">
      <c r="A32" s="29" t="inlineStr">
        <is>
          <t>Chaos engineering</t>
        </is>
      </c>
      <c r="B32" s="29" t="inlineStr">
        <is>
          <t>Resilience</t>
        </is>
      </c>
      <c r="C32" s="29" t="inlineStr">
        <is>
          <t>Grey</t>
        </is>
      </c>
      <c r="D32" s="29" t="inlineStr">
        <is>
          <t>System keeps steady state when parts fail</t>
        </is>
      </c>
      <c r="E32" s="29" t="inlineStr">
        <is>
          <t>Weekly game day</t>
        </is>
      </c>
      <c r="F32" s="29" t="inlineStr">
        <is>
          <t>Chaos Mesh, Litmus</t>
        </is>
      </c>
      <c r="G32" s="29" t="inlineStr">
        <is>
          <t>Chaos Mesh, Toxiproxy</t>
        </is>
      </c>
      <c r="H32" s="29" t="inlineStr">
        <is>
          <t>Chaos Mesh, Toxiproxy</t>
        </is>
      </c>
      <c r="I32" s="29" t="inlineStr">
        <is>
          <t>Chaos Mesh, Toxiproxy</t>
        </is>
      </c>
      <c r="J32" s="29" t="inlineStr">
        <is>
          <t>Steady state holds; RTO met</t>
        </is>
      </c>
      <c r="K32" s="29" t="inlineStr">
        <is>
          <t>Chaos_Resilience sheet</t>
        </is>
      </c>
    </row>
    <row r="33">
      <c r="A33" s="29" t="inlineStr">
        <is>
          <t>Failover / Disaster recovery</t>
        </is>
      </c>
      <c r="B33" s="29" t="inlineStr">
        <is>
          <t>Resilience</t>
        </is>
      </c>
      <c r="C33" s="29" t="inlineStr">
        <is>
          <t>Grey</t>
        </is>
      </c>
      <c r="D33" s="29" t="inlineStr">
        <is>
          <t>Region/DB loss recovers within RTO/RPO</t>
        </is>
      </c>
      <c r="E33" s="29" t="inlineStr">
        <is>
          <t>Quarterly drill</t>
        </is>
      </c>
      <c r="F33" s="29" t="inlineStr">
        <is>
          <t>Runbook drill</t>
        </is>
      </c>
      <c r="G33" s="29" t="inlineStr">
        <is>
          <t>Runbook drill</t>
        </is>
      </c>
      <c r="H33" s="29" t="inlineStr">
        <is>
          <t>Runbook drill</t>
        </is>
      </c>
      <c r="I33" s="29" t="inlineStr">
        <is>
          <t>Runbook drill</t>
        </is>
      </c>
      <c r="J33" s="29" t="inlineStr">
        <is>
          <t>RTO and RPO met</t>
        </is>
      </c>
      <c r="K33" s="29" t="inlineStr">
        <is>
          <t>Drill report</t>
        </is>
      </c>
    </row>
    <row r="34">
      <c r="A34" s="29" t="inlineStr">
        <is>
          <t>Backup &amp; restore</t>
        </is>
      </c>
      <c r="B34" s="29" t="inlineStr">
        <is>
          <t>Resilience</t>
        </is>
      </c>
      <c r="C34" s="29" t="inlineStr">
        <is>
          <t>Grey</t>
        </is>
      </c>
      <c r="D34" s="29" t="inlineStr">
        <is>
          <t>Backups actually restore</t>
        </is>
      </c>
      <c r="E34" s="29" t="inlineStr">
        <is>
          <t>Monthly</t>
        </is>
      </c>
      <c r="F34" s="29" t="inlineStr">
        <is>
          <t>pgBackRest / RDS snapshot</t>
        </is>
      </c>
      <c r="G34" s="29" t="inlineStr">
        <is>
          <t>same</t>
        </is>
      </c>
      <c r="H34" s="29" t="inlineStr">
        <is>
          <t>same</t>
        </is>
      </c>
      <c r="I34" s="29" t="inlineStr">
        <is>
          <t>same</t>
        </is>
      </c>
      <c r="J34" s="29" t="inlineStr">
        <is>
          <t>Restore verified with checksum</t>
        </is>
      </c>
      <c r="K34" s="29" t="inlineStr">
        <is>
          <t>Restore log</t>
        </is>
      </c>
    </row>
    <row r="35">
      <c r="A35" s="29" t="inlineStr">
        <is>
          <t>Resilience patterns</t>
        </is>
      </c>
      <c r="B35" s="29" t="inlineStr">
        <is>
          <t>Resilience</t>
        </is>
      </c>
      <c r="C35" s="29" t="inlineStr">
        <is>
          <t>Grey</t>
        </is>
      </c>
      <c r="D35" s="29" t="inlineStr">
        <is>
          <t>Timeouts, retries, circuit breakers, bulkheads work</t>
        </is>
      </c>
      <c r="E35" s="29" t="inlineStr">
        <is>
          <t>Every PR</t>
        </is>
      </c>
      <c r="F35" s="29" t="inlineStr">
        <is>
          <t>Resilience4j + Toxiproxy</t>
        </is>
      </c>
      <c r="G35" s="29" t="inlineStr">
        <is>
          <t>Toxiproxy</t>
        </is>
      </c>
      <c r="H35" s="29" t="inlineStr">
        <is>
          <t>Toxiproxy</t>
        </is>
      </c>
      <c r="I35" s="29" t="inlineStr">
        <is>
          <t>Toxiproxy</t>
        </is>
      </c>
      <c r="J35" s="29" t="inlineStr">
        <is>
          <t>Breaker opens/closes as configured</t>
        </is>
      </c>
      <c r="K35" s="29" t="inlineStr">
        <is>
          <t>Test report</t>
        </is>
      </c>
    </row>
    <row r="36">
      <c r="A36" s="29" t="inlineStr">
        <is>
          <t>Network partition (Jepsen-style)</t>
        </is>
      </c>
      <c r="B36" s="29" t="inlineStr">
        <is>
          <t>Resilience</t>
        </is>
      </c>
      <c r="C36" s="29" t="inlineStr">
        <is>
          <t>Grey</t>
        </is>
      </c>
      <c r="D36" s="29" t="inlineStr">
        <is>
          <t>Consistency guarantees hold under partitions</t>
        </is>
      </c>
      <c r="E36" s="29" t="inlineStr">
        <is>
          <t>Pre-release</t>
        </is>
      </c>
      <c r="F36" s="29" t="inlineStr">
        <is>
          <t>Jepsen / custom</t>
        </is>
      </c>
      <c r="G36" s="29" t="inlineStr">
        <is>
          <t>Jepsen / custom</t>
        </is>
      </c>
      <c r="H36" s="29" t="inlineStr">
        <is>
          <t>Jepsen / custom</t>
        </is>
      </c>
      <c r="I36" s="29" t="inlineStr">
        <is>
          <t>Jepsen / custom</t>
        </is>
      </c>
      <c r="J36" s="29" t="inlineStr">
        <is>
          <t>No guarantee violated</t>
        </is>
      </c>
      <c r="K36" s="29" t="inlineStr">
        <is>
          <t>History analysis (Elle/Knossos)</t>
        </is>
      </c>
    </row>
    <row r="37">
      <c r="A37" s="29" t="inlineStr">
        <is>
          <t>Deployment / Rollback</t>
        </is>
      </c>
      <c r="B37" s="29" t="inlineStr">
        <is>
          <t>Resilience</t>
        </is>
      </c>
      <c r="C37" s="29" t="inlineStr">
        <is>
          <t>Grey</t>
        </is>
      </c>
      <c r="D37" s="29" t="inlineStr">
        <is>
          <t>Canary detects bad builds and rolls back; zero-downtime deploys</t>
        </is>
      </c>
      <c r="E37" s="29" t="inlineStr">
        <is>
          <t>Per release</t>
        </is>
      </c>
      <c r="F37" s="29" t="inlineStr">
        <is>
          <t>Argo Rollouts analysis</t>
        </is>
      </c>
      <c r="G37" s="29" t="inlineStr">
        <is>
          <t>same</t>
        </is>
      </c>
      <c r="H37" s="29" t="inlineStr">
        <is>
          <t>same</t>
        </is>
      </c>
      <c r="I37" s="29" t="inlineStr">
        <is>
          <t>same</t>
        </is>
      </c>
      <c r="J37" s="29" t="inlineStr">
        <is>
          <t>Auto-rollback in drill; 0 dropped requests</t>
        </is>
      </c>
      <c r="K37" s="29" t="inlineStr">
        <is>
          <t>Rollout log</t>
        </is>
      </c>
    </row>
    <row r="38">
      <c r="A38" s="29" t="inlineStr">
        <is>
          <t>SAST</t>
        </is>
      </c>
      <c r="B38" s="29" t="inlineStr">
        <is>
          <t>Security</t>
        </is>
      </c>
      <c r="C38" s="29" t="inlineStr">
        <is>
          <t>White</t>
        </is>
      </c>
      <c r="D38" s="29" t="inlineStr">
        <is>
          <t>Vulnerable code patterns</t>
        </is>
      </c>
      <c r="E38" s="29" t="inlineStr">
        <is>
          <t>Every PR</t>
        </is>
      </c>
      <c r="F38" s="29" t="inlineStr">
        <is>
          <t>Semgrep, CodeQL</t>
        </is>
      </c>
      <c r="G38" s="29" t="inlineStr">
        <is>
          <t>gosec, Semgrep</t>
        </is>
      </c>
      <c r="H38" s="29" t="inlineStr">
        <is>
          <t>cargo-audit, Semgrep</t>
        </is>
      </c>
      <c r="I38" s="29" t="inlineStr">
        <is>
          <t>Bandit, Semgrep</t>
        </is>
      </c>
      <c r="J38" s="29" t="inlineStr">
        <is>
          <t>0 high/critical</t>
        </is>
      </c>
      <c r="K38" s="29" t="inlineStr">
        <is>
          <t>Scan report</t>
        </is>
      </c>
    </row>
    <row r="39">
      <c r="A39" s="29" t="inlineStr">
        <is>
          <t>SCA / Dependency &amp; image scan</t>
        </is>
      </c>
      <c r="B39" s="29" t="inlineStr">
        <is>
          <t>Security</t>
        </is>
      </c>
      <c r="C39" s="29" t="inlineStr">
        <is>
          <t>White</t>
        </is>
      </c>
      <c r="D39" s="29" t="inlineStr">
        <is>
          <t>Vulnerable dependencies and container images</t>
        </is>
      </c>
      <c r="E39" s="29" t="inlineStr">
        <is>
          <t>Every PR + daily</t>
        </is>
      </c>
      <c r="F39" s="29" t="inlineStr">
        <is>
          <t>Trivy, OWASP Dependency-Check</t>
        </is>
      </c>
      <c r="G39" s="29" t="inlineStr">
        <is>
          <t>govulncheck, Trivy</t>
        </is>
      </c>
      <c r="H39" s="29" t="inlineStr">
        <is>
          <t>cargo-audit, Trivy</t>
        </is>
      </c>
      <c r="I39" s="29" t="inlineStr">
        <is>
          <t>pip-audit, Trivy</t>
        </is>
      </c>
      <c r="J39" s="29" t="inlineStr">
        <is>
          <t>0 critical CVEs</t>
        </is>
      </c>
      <c r="K39" s="29" t="inlineStr">
        <is>
          <t>SBOM + scan report</t>
        </is>
      </c>
    </row>
    <row r="40">
      <c r="A40" s="29" t="inlineStr">
        <is>
          <t>Secrets scanning</t>
        </is>
      </c>
      <c r="B40" s="29" t="inlineStr">
        <is>
          <t>Security</t>
        </is>
      </c>
      <c r="C40" s="29" t="inlineStr">
        <is>
          <t>White</t>
        </is>
      </c>
      <c r="D40" s="29" t="inlineStr">
        <is>
          <t>No credentials committed</t>
        </is>
      </c>
      <c r="E40" s="29" t="inlineStr">
        <is>
          <t>Pre-commit + PR</t>
        </is>
      </c>
      <c r="F40" s="29" t="inlineStr">
        <is>
          <t>gitleaks</t>
        </is>
      </c>
      <c r="G40" s="29" t="inlineStr">
        <is>
          <t>gitleaks</t>
        </is>
      </c>
      <c r="H40" s="29" t="inlineStr">
        <is>
          <t>gitleaks</t>
        </is>
      </c>
      <c r="I40" s="29" t="inlineStr">
        <is>
          <t>gitleaks</t>
        </is>
      </c>
      <c r="J40" s="29" t="inlineStr">
        <is>
          <t>0 findings</t>
        </is>
      </c>
      <c r="K40" s="29" t="inlineStr">
        <is>
          <t>CI run</t>
        </is>
      </c>
    </row>
    <row r="41">
      <c r="A41" s="29" t="inlineStr">
        <is>
          <t>DAST</t>
        </is>
      </c>
      <c r="B41" s="29" t="inlineStr">
        <is>
          <t>Security</t>
        </is>
      </c>
      <c r="C41" s="29" t="inlineStr">
        <is>
          <t>Black</t>
        </is>
      </c>
      <c r="D41" s="29" t="inlineStr">
        <is>
          <t>Running app resists common web attacks</t>
        </is>
      </c>
      <c r="E41" s="29" t="inlineStr">
        <is>
          <t>Nightly on staging</t>
        </is>
      </c>
      <c r="F41" s="29" t="inlineStr">
        <is>
          <t>OWASP ZAP</t>
        </is>
      </c>
      <c r="G41" s="29" t="inlineStr">
        <is>
          <t>OWASP ZAP</t>
        </is>
      </c>
      <c r="H41" s="29" t="inlineStr">
        <is>
          <t>OWASP ZAP</t>
        </is>
      </c>
      <c r="I41" s="29" t="inlineStr">
        <is>
          <t>OWASP ZAP</t>
        </is>
      </c>
      <c r="J41" s="29" t="inlineStr">
        <is>
          <t>0 high alerts</t>
        </is>
      </c>
      <c r="K41" s="29" t="inlineStr">
        <is>
          <t>ZAP report</t>
        </is>
      </c>
    </row>
    <row r="42">
      <c r="A42" s="29" t="inlineStr">
        <is>
          <t>AuthN / AuthZ &amp; tenant isolation</t>
        </is>
      </c>
      <c r="B42" s="29" t="inlineStr">
        <is>
          <t>Security</t>
        </is>
      </c>
      <c r="C42" s="29" t="inlineStr">
        <is>
          <t>Black</t>
        </is>
      </c>
      <c r="D42" s="29" t="inlineStr">
        <is>
          <t>No cross-tenant access; RBAC enforced on every endpoint</t>
        </is>
      </c>
      <c r="E42" s="29" t="inlineStr">
        <is>
          <t>Every PR</t>
        </is>
      </c>
      <c r="F42" s="29" t="inlineStr">
        <is>
          <t>Custom suite</t>
        </is>
      </c>
      <c r="G42" s="29" t="inlineStr">
        <is>
          <t>Custom suite</t>
        </is>
      </c>
      <c r="H42" s="29" t="inlineStr">
        <is>
          <t>Custom suite</t>
        </is>
      </c>
      <c r="I42" s="29" t="inlineStr">
        <is>
          <t>Custom suite</t>
        </is>
      </c>
      <c r="J42" s="29" t="inlineStr">
        <is>
          <t>0 cross-tenant leaks</t>
        </is>
      </c>
      <c r="K42" s="29" t="inlineStr">
        <is>
          <t>Test report</t>
        </is>
      </c>
    </row>
    <row r="43">
      <c r="A43" s="29" t="inlineStr">
        <is>
          <t>Penetration test (checklist)</t>
        </is>
      </c>
      <c r="B43" s="29" t="inlineStr">
        <is>
          <t>Security</t>
        </is>
      </c>
      <c r="C43" s="29" t="inlineStr">
        <is>
          <t>Black</t>
        </is>
      </c>
      <c r="D43" s="29" t="inlineStr">
        <is>
          <t>Manual attack per OWASP ASVS / API Top 10</t>
        </is>
      </c>
      <c r="E43" s="29" t="inlineStr">
        <is>
          <t>Pre-launch</t>
        </is>
      </c>
      <c r="F43" s="29" t="inlineStr">
        <is>
          <t>Burp Suite</t>
        </is>
      </c>
      <c r="G43" s="29" t="inlineStr">
        <is>
          <t>Burp Suite</t>
        </is>
      </c>
      <c r="H43" s="29" t="inlineStr">
        <is>
          <t>Burp Suite</t>
        </is>
      </c>
      <c r="I43" s="29" t="inlineStr">
        <is>
          <t>Burp Suite</t>
        </is>
      </c>
      <c r="J43" s="29" t="inlineStr">
        <is>
          <t>No open high findings</t>
        </is>
      </c>
      <c r="K43" s="29" t="inlineStr">
        <is>
          <t>Pen-test report</t>
        </is>
      </c>
    </row>
    <row r="44">
      <c r="A44" s="29" t="inlineStr">
        <is>
          <t>Compliance / Audit</t>
        </is>
      </c>
      <c r="B44" s="29" t="inlineStr">
        <is>
          <t>Security</t>
        </is>
      </c>
      <c r="C44" s="29" t="inlineStr">
        <is>
          <t>Grey</t>
        </is>
      </c>
      <c r="D44" s="29" t="inlineStr">
        <is>
          <t>Audit logs, retention, data deletion meet SOC 2-style controls</t>
        </is>
      </c>
      <c r="E44" s="29" t="inlineStr">
        <is>
          <t>Pre-launch</t>
        </is>
      </c>
      <c r="F44" s="29" t="inlineStr">
        <is>
          <t>Control checklist</t>
        </is>
      </c>
      <c r="G44" s="29" t="inlineStr">
        <is>
          <t>same</t>
        </is>
      </c>
      <c r="H44" s="29" t="inlineStr">
        <is>
          <t>same</t>
        </is>
      </c>
      <c r="I44" s="29" t="inlineStr">
        <is>
          <t>same</t>
        </is>
      </c>
      <c r="J44" s="29" t="inlineStr">
        <is>
          <t>All controls evidenced</t>
        </is>
      </c>
      <c r="K44" s="29" t="inlineStr">
        <is>
          <t>Control matrix</t>
        </is>
      </c>
    </row>
    <row r="45">
      <c r="A45" s="29" t="inlineStr">
        <is>
          <t>Observability / Alert test</t>
        </is>
      </c>
      <c r="B45" s="29" t="inlineStr">
        <is>
          <t>Non-functional</t>
        </is>
      </c>
      <c r="C45" s="29" t="inlineStr">
        <is>
          <t>Grey</t>
        </is>
      </c>
      <c r="D45" s="29" t="inlineStr">
        <is>
          <t>Alerts fire, dashboards and traces are correct</t>
        </is>
      </c>
      <c r="E45" s="29" t="inlineStr">
        <is>
          <t>Per release</t>
        </is>
      </c>
      <c r="F45" s="29" t="inlineStr">
        <is>
          <t>Synthetic faults + promtool test</t>
        </is>
      </c>
      <c r="G45" s="29" t="inlineStr">
        <is>
          <t>promtool test rules</t>
        </is>
      </c>
      <c r="H45" s="29" t="inlineStr">
        <is>
          <t>promtool</t>
        </is>
      </c>
      <c r="I45" s="29" t="inlineStr">
        <is>
          <t>promtool</t>
        </is>
      </c>
      <c r="J45" s="29" t="inlineStr">
        <is>
          <t>Every SLO alert fires in test</t>
        </is>
      </c>
      <c r="K45" s="29" t="inlineStr">
        <is>
          <t>Alert test log</t>
        </is>
      </c>
    </row>
    <row r="46">
      <c r="A46" s="29" t="inlineStr">
        <is>
          <t>Accessibility (portal)</t>
        </is>
      </c>
      <c r="B46" s="29" t="inlineStr">
        <is>
          <t>Non-functional</t>
        </is>
      </c>
      <c r="C46" s="29" t="inlineStr">
        <is>
          <t>Black</t>
        </is>
      </c>
      <c r="D46" s="29" t="inlineStr">
        <is>
          <t>Customer portal is usable with assistive tech</t>
        </is>
      </c>
      <c r="E46" s="29" t="inlineStr">
        <is>
          <t>Per release</t>
        </is>
      </c>
      <c r="F46" s="29" t="inlineStr">
        <is>
          <t>axe-core + Playwright</t>
        </is>
      </c>
      <c r="G46" s="29" t="inlineStr">
        <is>
          <t>same</t>
        </is>
      </c>
      <c r="H46" s="29" t="inlineStr">
        <is>
          <t>same</t>
        </is>
      </c>
      <c r="I46" s="29" t="inlineStr">
        <is>
          <t>same</t>
        </is>
      </c>
      <c r="J46" s="29" t="inlineStr">
        <is>
          <t>0 serious axe violations</t>
        </is>
      </c>
      <c r="K46" s="29" t="inlineStr">
        <is>
          <t>axe report</t>
        </is>
      </c>
    </row>
    <row r="47">
      <c r="A47" s="29" t="inlineStr">
        <is>
          <t>Usability</t>
        </is>
      </c>
      <c r="B47" s="29" t="inlineStr">
        <is>
          <t>Non-functional</t>
        </is>
      </c>
      <c r="C47" s="29" t="inlineStr">
        <is>
          <t>Black</t>
        </is>
      </c>
      <c r="D47" s="29" t="inlineStr">
        <is>
          <t>New user completes quickstart unaided</t>
        </is>
      </c>
      <c r="E47" s="29" t="inlineStr">
        <is>
          <t>Pre-launch</t>
        </is>
      </c>
      <c r="F47" s="29" t="inlineStr">
        <is>
          <t>Timed session</t>
        </is>
      </c>
      <c r="G47" s="29" t="inlineStr">
        <is>
          <t>same</t>
        </is>
      </c>
      <c r="H47" s="29" t="inlineStr">
        <is>
          <t>same</t>
        </is>
      </c>
      <c r="I47" s="29" t="inlineStr">
        <is>
          <t>same</t>
        </is>
      </c>
      <c r="J47" s="29" t="inlineStr">
        <is>
          <t>Quickstart &lt; 5 min</t>
        </is>
      </c>
      <c r="K47" s="29" t="inlineStr">
        <is>
          <t>Recording</t>
        </is>
      </c>
    </row>
    <row r="48">
      <c r="A48" s="29" t="inlineStr">
        <is>
          <t>ML / LLM quality evaluation</t>
        </is>
      </c>
      <c r="B48" s="29" t="inlineStr">
        <is>
          <t>Functional</t>
        </is>
      </c>
      <c r="C48" s="29" t="inlineStr">
        <is>
          <t>Black</t>
        </is>
      </c>
      <c r="D48" s="29" t="inlineStr">
        <is>
          <t>RAG retrieval and answer quality; guardrail accuracy</t>
        </is>
      </c>
      <c r="E48" s="29" t="inlineStr">
        <is>
          <t>Every PR touching prompts/retrieval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Ragas, DeepEval, promptfoo</t>
        </is>
      </c>
      <c r="J48" s="29" t="inlineStr">
        <is>
          <t>Scores &gt;= targets; no drop &gt; 2%</t>
        </is>
      </c>
      <c r="K48" s="29" t="inlineStr">
        <is>
          <t>Eval report</t>
        </is>
      </c>
    </row>
  </sheetData>
  <autoFilter ref="A1:K600"/>
  <conditionalFormatting sqref="C2:C48">
    <cfRule type="expression" priority="1" dxfId="4">
      <formula>$C2="White"</formula>
    </cfRule>
    <cfRule type="expression" priority="2" dxfId="3">
      <formula>$C2="Black"</formula>
    </cfRule>
    <cfRule type="expression" priority="3" dxfId="1">
      <formula>$C2="Grey"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O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8" customWidth="1" min="4" max="4"/>
    <col width="16" customWidth="1" min="5" max="5"/>
    <col width="42" customWidth="1" min="6" max="6"/>
    <col width="38" customWidth="1" min="7" max="7"/>
    <col width="20" customWidth="1" min="8" max="8"/>
    <col width="8" customWidth="1" min="9" max="9"/>
    <col width="10" customWidth="1" min="10" max="10"/>
    <col width="11" customWidth="1" min="11" max="11"/>
    <col width="12" customWidth="1" min="12" max="12"/>
    <col width="30" customWidth="1" min="13" max="13"/>
    <col width="10" customWidth="1" min="14" max="14"/>
    <col width="30" customWidth="1" min="15" max="15"/>
  </cols>
  <sheetData>
    <row r="1" ht="32" customHeight="1">
      <c r="A1" s="11" t="inlineStr">
        <is>
          <t>Test ID</t>
        </is>
      </c>
      <c r="B1" s="11" t="inlineStr">
        <is>
          <t>Track</t>
        </is>
      </c>
      <c r="C1" s="11" t="inlineStr">
        <is>
          <t>Test Type</t>
        </is>
      </c>
      <c r="D1" s="11" t="inlineStr">
        <is>
          <t>Box</t>
        </is>
      </c>
      <c r="E1" s="11" t="inlineStr">
        <is>
          <t>Component</t>
        </is>
      </c>
      <c r="F1" s="11" t="inlineStr">
        <is>
          <t>Scenario</t>
        </is>
      </c>
      <c r="G1" s="11" t="inlineStr">
        <is>
          <t>Expected Result</t>
        </is>
      </c>
      <c r="H1" s="11" t="inlineStr">
        <is>
          <t>Tool</t>
        </is>
      </c>
      <c r="I1" s="11" t="inlineStr">
        <is>
          <t>Priority</t>
        </is>
      </c>
      <c r="J1" s="11" t="inlineStr">
        <is>
          <t>Automated (Y/N)</t>
        </is>
      </c>
      <c r="K1" s="11" t="inlineStr">
        <is>
          <t>Status</t>
        </is>
      </c>
      <c r="L1" s="11" t="inlineStr">
        <is>
          <t>Last Run</t>
        </is>
      </c>
      <c r="M1" s="11" t="inlineStr">
        <is>
          <t>Actual Result</t>
        </is>
      </c>
      <c r="N1" s="11" t="inlineStr">
        <is>
          <t>Defect ID</t>
        </is>
      </c>
      <c r="O1" s="11" t="inlineStr">
        <is>
          <t>Evidence Link</t>
        </is>
      </c>
    </row>
    <row r="2">
      <c r="A2" s="26" t="inlineStr">
        <is>
          <t>EX-TC-001</t>
        </is>
      </c>
      <c r="B2" s="26" t="inlineStr">
        <is>
          <t>EXAMPLE</t>
        </is>
      </c>
      <c r="C2" s="26" t="inlineStr">
        <is>
          <t>Idempotency</t>
        </is>
      </c>
      <c r="D2" s="26">
        <f>IFERROR(INDEX(Test_Catalog!$C$2:$C$48,MATCH(C2,Test_Catalog!$A$2:$A$48,0)),"")</f>
        <v/>
      </c>
      <c r="E2" s="26" t="inlineStr">
        <is>
          <t>Payments API</t>
        </is>
      </c>
      <c r="F2" s="26" t="inlineStr">
        <is>
          <t>Example: same key POSTed twice</t>
        </is>
      </c>
      <c r="G2" s="26" t="inlineStr">
        <is>
          <t>One ledger entry</t>
        </is>
      </c>
      <c r="H2" s="26" t="inlineStr">
        <is>
          <t>Custom harness</t>
        </is>
      </c>
      <c r="I2" s="26" t="inlineStr">
        <is>
          <t>P0</t>
        </is>
      </c>
      <c r="J2" s="26" t="inlineStr">
        <is>
          <t>Y</t>
        </is>
      </c>
      <c r="K2" s="26" t="inlineStr">
        <is>
          <t>Pass</t>
        </is>
      </c>
      <c r="L2" s="27" t="n">
        <v>46336</v>
      </c>
      <c r="M2" s="26" t="inlineStr">
        <is>
          <t>1 entry, identical 201 responses</t>
        </is>
      </c>
      <c r="N2" s="26" t="n"/>
      <c r="O2" s="26" t="inlineStr">
        <is>
          <t>https://github.com/you/repo/actions/runs/123</t>
        </is>
      </c>
    </row>
    <row r="3">
      <c r="A3" s="29" t="inlineStr">
        <is>
          <t>TC-PLT-001</t>
        </is>
      </c>
      <c r="B3" s="29" t="inlineStr">
        <is>
          <t>Platform</t>
        </is>
      </c>
      <c r="C3" s="29" t="inlineStr">
        <is>
          <t>Integration</t>
        </is>
      </c>
      <c r="D3" s="29">
        <f>IFERROR(INDEX(Test_Catalog!$C$2:$C$48,MATCH(C3,Test_Catalog!$A$2:$A$48,0)),"")</f>
        <v/>
      </c>
      <c r="E3" s="29" t="inlineStr">
        <is>
          <t>Identity</t>
        </is>
      </c>
      <c r="F3" s="29" t="inlineStr">
        <is>
          <t>OIDC login with test Keycloak realm</t>
        </is>
      </c>
      <c r="G3" s="29" t="inlineStr">
        <is>
          <t>Token issued; claims include tenant_id and roles</t>
        </is>
      </c>
      <c r="H3" s="29" t="inlineStr">
        <is>
          <t>Playwright + Testcontainers</t>
        </is>
      </c>
      <c r="I3" s="29" t="inlineStr">
        <is>
          <t>P0</t>
        </is>
      </c>
      <c r="J3" s="31" t="inlineStr">
        <is>
          <t>Y</t>
        </is>
      </c>
      <c r="K3" s="31" t="inlineStr">
        <is>
          <t>Not Run</t>
        </is>
      </c>
      <c r="L3" s="34" t="n"/>
      <c r="M3" s="31" t="n"/>
      <c r="N3" s="31" t="n"/>
      <c r="O3" s="31" t="n"/>
    </row>
    <row r="4">
      <c r="A4" s="29" t="inlineStr">
        <is>
          <t>TC-PLT-002</t>
        </is>
      </c>
      <c r="B4" s="29" t="inlineStr">
        <is>
          <t>Platform</t>
        </is>
      </c>
      <c r="C4" s="29" t="inlineStr">
        <is>
          <t>AuthN / AuthZ &amp; tenant isolation</t>
        </is>
      </c>
      <c r="D4" s="29">
        <f>IFERROR(INDEX(Test_Catalog!$C$2:$C$48,MATCH(C4,Test_Catalog!$A$2:$A$48,0)),"")</f>
        <v/>
      </c>
      <c r="E4" s="29" t="inlineStr">
        <is>
          <t>Tenancy</t>
        </is>
      </c>
      <c r="F4" s="29" t="inlineStr">
        <is>
          <t>Tenant A requests Tenant B resource by ID</t>
        </is>
      </c>
      <c r="G4" s="29" t="inlineStr">
        <is>
          <t>403/404; RLS blocks query; audit event logged</t>
        </is>
      </c>
      <c r="H4" s="29" t="inlineStr">
        <is>
          <t>Custom suite</t>
        </is>
      </c>
      <c r="I4" s="29" t="inlineStr">
        <is>
          <t>P0</t>
        </is>
      </c>
      <c r="J4" s="31" t="inlineStr">
        <is>
          <t>Y</t>
        </is>
      </c>
      <c r="K4" s="31" t="inlineStr">
        <is>
          <t>Not Run</t>
        </is>
      </c>
      <c r="L4" s="34" t="n"/>
      <c r="M4" s="31" t="n"/>
      <c r="N4" s="31" t="n"/>
      <c r="O4" s="31" t="n"/>
    </row>
    <row r="5">
      <c r="A5" s="29" t="inlineStr">
        <is>
          <t>TC-PLT-003</t>
        </is>
      </c>
      <c r="B5" s="29" t="inlineStr">
        <is>
          <t>Platform</t>
        </is>
      </c>
      <c r="C5" s="29" t="inlineStr">
        <is>
          <t>AuthN / AuthZ &amp; tenant isolation</t>
        </is>
      </c>
      <c r="D5" s="29">
        <f>IFERROR(INDEX(Test_Catalog!$C$2:$C$48,MATCH(C5,Test_Catalog!$A$2:$A$48,0)),"")</f>
        <v/>
      </c>
      <c r="E5" s="29" t="inlineStr">
        <is>
          <t>API keys</t>
        </is>
      </c>
      <c r="F5" s="29" t="inlineStr">
        <is>
          <t>Use a revoked API key</t>
        </is>
      </c>
      <c r="G5" s="29" t="inlineStr">
        <is>
          <t>401 within 60 s of revocation</t>
        </is>
      </c>
      <c r="H5" s="29" t="inlineStr">
        <is>
          <t>Custom suite</t>
        </is>
      </c>
      <c r="I5" s="29" t="inlineStr">
        <is>
          <t>P0</t>
        </is>
      </c>
      <c r="J5" s="31" t="inlineStr">
        <is>
          <t>Y</t>
        </is>
      </c>
      <c r="K5" s="31" t="inlineStr">
        <is>
          <t>Not Run</t>
        </is>
      </c>
      <c r="L5" s="34" t="n"/>
      <c r="M5" s="31" t="n"/>
      <c r="N5" s="31" t="n"/>
      <c r="O5" s="31" t="n"/>
    </row>
    <row r="6">
      <c r="A6" s="29" t="inlineStr">
        <is>
          <t>TC-PLT-004</t>
        </is>
      </c>
      <c r="B6" s="29" t="inlineStr">
        <is>
          <t>Platform</t>
        </is>
      </c>
      <c r="C6" s="29" t="inlineStr">
        <is>
          <t>Functional</t>
        </is>
      </c>
      <c r="D6" s="29">
        <f>IFERROR(INDEX(Test_Catalog!$C$2:$C$48,MATCH(C6,Test_Catalog!$A$2:$A$48,0)),"")</f>
        <v/>
      </c>
      <c r="E6" s="29" t="inlineStr">
        <is>
          <t>Rate limiting</t>
        </is>
      </c>
      <c r="F6" s="29" t="inlineStr">
        <is>
          <t>Exceed tenant quota</t>
        </is>
      </c>
      <c r="G6" s="29" t="inlineStr">
        <is>
          <t>429 with Retry-After; other tenants unaffected</t>
        </is>
      </c>
      <c r="H6" s="29" t="inlineStr">
        <is>
          <t>k6</t>
        </is>
      </c>
      <c r="I6" s="29" t="inlineStr">
        <is>
          <t>P0</t>
        </is>
      </c>
      <c r="J6" s="31" t="inlineStr">
        <is>
          <t>Y</t>
        </is>
      </c>
      <c r="K6" s="31" t="inlineStr">
        <is>
          <t>Not Run</t>
        </is>
      </c>
      <c r="L6" s="34" t="n"/>
      <c r="M6" s="31" t="n"/>
      <c r="N6" s="31" t="n"/>
      <c r="O6" s="31" t="n"/>
    </row>
    <row r="7">
      <c r="A7" s="29" t="inlineStr">
        <is>
          <t>TC-PLT-005</t>
        </is>
      </c>
      <c r="B7" s="29" t="inlineStr">
        <is>
          <t>Platform</t>
        </is>
      </c>
      <c r="C7" s="29" t="inlineStr">
        <is>
          <t>SAST</t>
        </is>
      </c>
      <c r="D7" s="29">
        <f>IFERROR(INDEX(Test_Catalog!$C$2:$C$48,MATCH(C7,Test_Catalog!$A$2:$A$48,0)),"")</f>
        <v/>
      </c>
      <c r="E7" s="29" t="inlineStr">
        <is>
          <t>CI</t>
        </is>
      </c>
      <c r="F7" s="29" t="inlineStr">
        <is>
          <t>Semgrep + CodeQL on every PR</t>
        </is>
      </c>
      <c r="G7" s="29" t="inlineStr">
        <is>
          <t>0 high/critical findings</t>
        </is>
      </c>
      <c r="H7" s="29" t="inlineStr">
        <is>
          <t>Semgrep, CodeQL</t>
        </is>
      </c>
      <c r="I7" s="29" t="inlineStr">
        <is>
          <t>P0</t>
        </is>
      </c>
      <c r="J7" s="31" t="inlineStr">
        <is>
          <t>Y</t>
        </is>
      </c>
      <c r="K7" s="31" t="inlineStr">
        <is>
          <t>Not Run</t>
        </is>
      </c>
      <c r="L7" s="34" t="n"/>
      <c r="M7" s="31" t="n"/>
      <c r="N7" s="31" t="n"/>
      <c r="O7" s="31" t="n"/>
    </row>
    <row r="8">
      <c r="A8" s="29" t="inlineStr">
        <is>
          <t>TC-PLT-006</t>
        </is>
      </c>
      <c r="B8" s="29" t="inlineStr">
        <is>
          <t>Platform</t>
        </is>
      </c>
      <c r="C8" s="29" t="inlineStr">
        <is>
          <t>SCA / Dependency &amp; image scan</t>
        </is>
      </c>
      <c r="D8" s="29">
        <f>IFERROR(INDEX(Test_Catalog!$C$2:$C$48,MATCH(C8,Test_Catalog!$A$2:$A$48,0)),"")</f>
        <v/>
      </c>
      <c r="E8" s="29" t="inlineStr">
        <is>
          <t>CI</t>
        </is>
      </c>
      <c r="F8" s="29" t="inlineStr">
        <is>
          <t>Trivy scan of all images</t>
        </is>
      </c>
      <c r="G8" s="29" t="inlineStr">
        <is>
          <t>0 critical CVEs</t>
        </is>
      </c>
      <c r="H8" s="29" t="inlineStr">
        <is>
          <t>Trivy</t>
        </is>
      </c>
      <c r="I8" s="29" t="inlineStr">
        <is>
          <t>P0</t>
        </is>
      </c>
      <c r="J8" s="31" t="inlineStr">
        <is>
          <t>Y</t>
        </is>
      </c>
      <c r="K8" s="31" t="inlineStr">
        <is>
          <t>Not Run</t>
        </is>
      </c>
      <c r="L8" s="34" t="n"/>
      <c r="M8" s="31" t="n"/>
      <c r="N8" s="31" t="n"/>
      <c r="O8" s="31" t="n"/>
    </row>
    <row r="9">
      <c r="A9" s="29" t="inlineStr">
        <is>
          <t>TC-PLT-007</t>
        </is>
      </c>
      <c r="B9" s="29" t="inlineStr">
        <is>
          <t>Platform</t>
        </is>
      </c>
      <c r="C9" s="29" t="inlineStr">
        <is>
          <t>Secrets scanning</t>
        </is>
      </c>
      <c r="D9" s="29">
        <f>IFERROR(INDEX(Test_Catalog!$C$2:$C$48,MATCH(C9,Test_Catalog!$A$2:$A$48,0)),"")</f>
        <v/>
      </c>
      <c r="E9" s="29" t="inlineStr">
        <is>
          <t>CI</t>
        </is>
      </c>
      <c r="F9" s="29" t="inlineStr">
        <is>
          <t>gitleaks over full history</t>
        </is>
      </c>
      <c r="G9" s="29" t="inlineStr">
        <is>
          <t>0 findings</t>
        </is>
      </c>
      <c r="H9" s="29" t="inlineStr">
        <is>
          <t>gitleaks</t>
        </is>
      </c>
      <c r="I9" s="29" t="inlineStr">
        <is>
          <t>P0</t>
        </is>
      </c>
      <c r="J9" s="31" t="inlineStr">
        <is>
          <t>Y</t>
        </is>
      </c>
      <c r="K9" s="31" t="inlineStr">
        <is>
          <t>Pass</t>
        </is>
      </c>
      <c r="L9" s="34" t="n">
        <v>46318</v>
      </c>
      <c r="M9" s="31" t="inlineStr">
        <is>
          <t>0 findings across full history</t>
        </is>
      </c>
      <c r="N9" s="31" t="n"/>
      <c r="O9" s="31" t="inlineStr">
        <is>
          <t>https://github.com/mhrj7/meterbook/actions/runs/39905115436</t>
        </is>
      </c>
    </row>
    <row r="10">
      <c r="A10" s="29" t="inlineStr">
        <is>
          <t>TC-PLT-008</t>
        </is>
      </c>
      <c r="B10" s="29" t="inlineStr">
        <is>
          <t>Platform</t>
        </is>
      </c>
      <c r="C10" s="29" t="inlineStr">
        <is>
          <t>DAST</t>
        </is>
      </c>
      <c r="D10" s="29">
        <f>IFERROR(INDEX(Test_Catalog!$C$2:$C$48,MATCH(C10,Test_Catalog!$A$2:$A$48,0)),"")</f>
        <v/>
      </c>
      <c r="E10" s="29" t="inlineStr">
        <is>
          <t>Public API</t>
        </is>
      </c>
      <c r="F10" s="29" t="inlineStr">
        <is>
          <t>ZAP baseline scan on staging</t>
        </is>
      </c>
      <c r="G10" s="29" t="inlineStr">
        <is>
          <t>0 high alerts</t>
        </is>
      </c>
      <c r="H10" s="29" t="inlineStr">
        <is>
          <t>OWASP ZAP</t>
        </is>
      </c>
      <c r="I10" s="29" t="inlineStr">
        <is>
          <t>P1</t>
        </is>
      </c>
      <c r="J10" s="31" t="inlineStr">
        <is>
          <t>Y</t>
        </is>
      </c>
      <c r="K10" s="31" t="inlineStr">
        <is>
          <t>Not Run</t>
        </is>
      </c>
      <c r="L10" s="34" t="n"/>
      <c r="M10" s="31" t="n"/>
      <c r="N10" s="31" t="n"/>
      <c r="O10" s="31" t="n"/>
    </row>
    <row r="11">
      <c r="A11" s="29" t="inlineStr">
        <is>
          <t>TC-PLT-009</t>
        </is>
      </c>
      <c r="B11" s="29" t="inlineStr">
        <is>
          <t>Platform</t>
        </is>
      </c>
      <c r="C11" s="29" t="inlineStr">
        <is>
          <t>Smoke</t>
        </is>
      </c>
      <c r="D11" s="29">
        <f>IFERROR(INDEX(Test_Catalog!$C$2:$C$48,MATCH(C11,Test_Catalog!$A$2:$A$48,0)),"")</f>
        <v/>
      </c>
      <c r="E11" s="29" t="inlineStr">
        <is>
          <t>Deploy</t>
        </is>
      </c>
      <c r="F11" s="29" t="inlineStr">
        <is>
          <t>Post-deploy health + golden path</t>
        </is>
      </c>
      <c r="G11" s="29" t="inlineStr">
        <is>
          <t>All /healthz 200 within 2 min</t>
        </is>
      </c>
      <c r="H11" s="29" t="inlineStr">
        <is>
          <t>k6</t>
        </is>
      </c>
      <c r="I11" s="29" t="inlineStr">
        <is>
          <t>P0</t>
        </is>
      </c>
      <c r="J11" s="31" t="inlineStr">
        <is>
          <t>Y</t>
        </is>
      </c>
      <c r="K11" s="31" t="inlineStr">
        <is>
          <t>Not Run</t>
        </is>
      </c>
      <c r="L11" s="34" t="n"/>
      <c r="M11" s="31" t="n"/>
      <c r="N11" s="31" t="n"/>
      <c r="O11" s="31" t="n"/>
    </row>
    <row r="12">
      <c r="A12" s="29" t="inlineStr">
        <is>
          <t>TC-PLT-010</t>
        </is>
      </c>
      <c r="B12" s="29" t="inlineStr">
        <is>
          <t>Platform</t>
        </is>
      </c>
      <c r="C12" s="29" t="inlineStr">
        <is>
          <t>Backup &amp; restore</t>
        </is>
      </c>
      <c r="D12" s="29">
        <f>IFERROR(INDEX(Test_Catalog!$C$2:$C$48,MATCH(C12,Test_Catalog!$A$2:$A$48,0)),"")</f>
        <v/>
      </c>
      <c r="E12" s="29" t="inlineStr">
        <is>
          <t>RDS</t>
        </is>
      </c>
      <c r="F12" s="29" t="inlineStr">
        <is>
          <t>Restore latest snapshot to a fresh env</t>
        </is>
      </c>
      <c r="G12" s="29" t="inlineStr">
        <is>
          <t>Data checksum matches; RPO &lt;= 5 min</t>
        </is>
      </c>
      <c r="H12" s="29" t="inlineStr">
        <is>
          <t>Runbook</t>
        </is>
      </c>
      <c r="I12" s="29" t="inlineStr">
        <is>
          <t>P0</t>
        </is>
      </c>
      <c r="J12" s="31" t="inlineStr">
        <is>
          <t>Y</t>
        </is>
      </c>
      <c r="K12" s="31" t="inlineStr">
        <is>
          <t>Not Run</t>
        </is>
      </c>
      <c r="L12" s="34" t="n"/>
      <c r="M12" s="31" t="n"/>
      <c r="N12" s="31" t="n"/>
      <c r="O12" s="31" t="n"/>
    </row>
    <row r="13">
      <c r="A13" s="29" t="inlineStr">
        <is>
          <t>TC-PLT-011</t>
        </is>
      </c>
      <c r="B13" s="29" t="inlineStr">
        <is>
          <t>Platform</t>
        </is>
      </c>
      <c r="C13" s="29" t="inlineStr">
        <is>
          <t>Compliance / Audit</t>
        </is>
      </c>
      <c r="D13" s="29">
        <f>IFERROR(INDEX(Test_Catalog!$C$2:$C$48,MATCH(C13,Test_Catalog!$A$2:$A$48,0)),"")</f>
        <v/>
      </c>
      <c r="E13" s="29" t="inlineStr">
        <is>
          <t>Audit log</t>
        </is>
      </c>
      <c r="F13" s="29" t="inlineStr">
        <is>
          <t>Every mutating endpoint emits audit event</t>
        </is>
      </c>
      <c r="G13" s="29" t="inlineStr">
        <is>
          <t>100% of endpoints covered</t>
        </is>
      </c>
      <c r="H13" s="29" t="inlineStr">
        <is>
          <t>Custom suite</t>
        </is>
      </c>
      <c r="I13" s="29" t="inlineStr">
        <is>
          <t>P1</t>
        </is>
      </c>
      <c r="J13" s="31" t="inlineStr">
        <is>
          <t>Y</t>
        </is>
      </c>
      <c r="K13" s="31" t="inlineStr">
        <is>
          <t>Not Run</t>
        </is>
      </c>
      <c r="L13" s="34" t="n"/>
      <c r="M13" s="31" t="n"/>
      <c r="N13" s="31" t="n"/>
      <c r="O13" s="31" t="n"/>
    </row>
    <row r="14">
      <c r="A14" s="29" t="inlineStr">
        <is>
          <t>TC-PLT-012</t>
        </is>
      </c>
      <c r="B14" s="29" t="inlineStr">
        <is>
          <t>Platform</t>
        </is>
      </c>
      <c r="C14" s="29" t="inlineStr">
        <is>
          <t>Deployment / Rollback</t>
        </is>
      </c>
      <c r="D14" s="29">
        <f>IFERROR(INDEX(Test_Catalog!$C$2:$C$48,MATCH(C14,Test_Catalog!$A$2:$A$48,0)),"")</f>
        <v/>
      </c>
      <c r="E14" s="29" t="inlineStr">
        <is>
          <t>ArgoCD</t>
        </is>
      </c>
      <c r="F14" s="29" t="inlineStr">
        <is>
          <t>Deploy a build that fails health checks</t>
        </is>
      </c>
      <c r="G14" s="29" t="inlineStr">
        <is>
          <t>Auto-rollback; no user-visible errors</t>
        </is>
      </c>
      <c r="H14" s="29" t="inlineStr">
        <is>
          <t>Argo Rollouts</t>
        </is>
      </c>
      <c r="I14" s="29" t="inlineStr">
        <is>
          <t>P0</t>
        </is>
      </c>
      <c r="J14" s="31" t="inlineStr">
        <is>
          <t>Y</t>
        </is>
      </c>
      <c r="K14" s="31" t="inlineStr">
        <is>
          <t>Not Run</t>
        </is>
      </c>
      <c r="L14" s="34" t="n"/>
      <c r="M14" s="31" t="n"/>
      <c r="N14" s="31" t="n"/>
      <c r="O14" s="31" t="n"/>
    </row>
    <row r="15">
      <c r="A15" s="29" t="inlineStr">
        <is>
          <t>TC-PLT-013</t>
        </is>
      </c>
      <c r="B15" s="29" t="inlineStr">
        <is>
          <t>Platform</t>
        </is>
      </c>
      <c r="C15" s="29" t="inlineStr">
        <is>
          <t>Static analysis / Lint</t>
        </is>
      </c>
      <c r="D15" s="29">
        <f>IFERROR(INDEX(Test_Catalog!$C$2:$C$48,MATCH(C15,Test_Catalog!$A$2:$A$48,0)),"")</f>
        <v/>
      </c>
      <c r="E15" s="29" t="inlineStr">
        <is>
          <t>CI</t>
        </is>
      </c>
      <c r="F15" s="29" t="inlineStr">
        <is>
          <t>golangci-lint, clippy, SpotBugs, ruff on all repos</t>
        </is>
      </c>
      <c r="G15" s="29" t="inlineStr">
        <is>
          <t>0 errors; PR blocked otherwise</t>
        </is>
      </c>
      <c r="H15" s="29" t="inlineStr">
        <is>
          <t>Linters in CI</t>
        </is>
      </c>
      <c r="I15" s="29" t="inlineStr">
        <is>
          <t>P0</t>
        </is>
      </c>
      <c r="J15" s="31" t="inlineStr">
        <is>
          <t>Y</t>
        </is>
      </c>
      <c r="K15" s="31" t="inlineStr">
        <is>
          <t>Not Run</t>
        </is>
      </c>
      <c r="L15" s="34" t="n"/>
      <c r="M15" s="31" t="n"/>
      <c r="N15" s="31" t="n"/>
      <c r="O15" s="31" t="n"/>
    </row>
    <row r="16">
      <c r="A16" s="29" t="inlineStr">
        <is>
          <t>TC-PLT-014</t>
        </is>
      </c>
      <c r="B16" s="29" t="inlineStr">
        <is>
          <t>Platform</t>
        </is>
      </c>
      <c r="C16" s="29" t="inlineStr">
        <is>
          <t>Statement / Branch coverage</t>
        </is>
      </c>
      <c r="D16" s="29">
        <f>IFERROR(INDEX(Test_Catalog!$C$2:$C$48,MATCH(C16,Test_Catalog!$A$2:$A$48,0)),"")</f>
        <v/>
      </c>
      <c r="E16" s="29" t="inlineStr">
        <is>
          <t>CI</t>
        </is>
      </c>
      <c r="F16" s="29" t="inlineStr">
        <is>
          <t>Coverage gate on every PR</t>
        </is>
      </c>
      <c r="G16" s="29" t="inlineStr">
        <is>
          <t>PR blocked below Coverage sheet targets</t>
        </is>
      </c>
      <c r="H16" s="29" t="inlineStr">
        <is>
          <t>Codecov</t>
        </is>
      </c>
      <c r="I16" s="29" t="inlineStr">
        <is>
          <t>P0</t>
        </is>
      </c>
      <c r="J16" s="31" t="inlineStr">
        <is>
          <t>Y</t>
        </is>
      </c>
      <c r="K16" s="31" t="inlineStr">
        <is>
          <t>Not Run</t>
        </is>
      </c>
      <c r="L16" s="34" t="n"/>
      <c r="M16" s="31" t="n"/>
      <c r="N16" s="31" t="n"/>
      <c r="O16" s="31" t="n"/>
    </row>
    <row r="17">
      <c r="A17" s="29" t="inlineStr">
        <is>
          <t>TC-PLT-015</t>
        </is>
      </c>
      <c r="B17" s="29" t="inlineStr">
        <is>
          <t>Platform</t>
        </is>
      </c>
      <c r="C17" s="29" t="inlineStr">
        <is>
          <t>Sanity</t>
        </is>
      </c>
      <c r="D17" s="29">
        <f>IFERROR(INDEX(Test_Catalog!$C$2:$C$48,MATCH(C17,Test_Catalog!$A$2:$A$48,0)),"")</f>
        <v/>
      </c>
      <c r="E17" s="29" t="inlineStr">
        <is>
          <t>Hotfix</t>
        </is>
      </c>
      <c r="F17" s="29" t="inlineStr">
        <is>
          <t>Targeted suite for a hotfix before full regression</t>
        </is>
      </c>
      <c r="G17" s="29" t="inlineStr">
        <is>
          <t>Passes in &lt; 5 min</t>
        </is>
      </c>
      <c r="H17" s="29" t="inlineStr">
        <is>
          <t>CI targeted job</t>
        </is>
      </c>
      <c r="I17" s="29" t="inlineStr">
        <is>
          <t>P1</t>
        </is>
      </c>
      <c r="J17" s="31" t="inlineStr">
        <is>
          <t>Y</t>
        </is>
      </c>
      <c r="K17" s="31" t="inlineStr">
        <is>
          <t>Not Run</t>
        </is>
      </c>
      <c r="L17" s="34" t="n"/>
      <c r="M17" s="31" t="n"/>
      <c r="N17" s="31" t="n"/>
      <c r="O17" s="31" t="n"/>
    </row>
    <row r="18">
      <c r="A18" s="29" t="inlineStr">
        <is>
          <t>TC-PLT-016</t>
        </is>
      </c>
      <c r="B18" s="29" t="inlineStr">
        <is>
          <t>Platform</t>
        </is>
      </c>
      <c r="C18" s="29" t="inlineStr">
        <is>
          <t>Failover / Disaster recovery</t>
        </is>
      </c>
      <c r="D18" s="29">
        <f>IFERROR(INDEX(Test_Catalog!$C$2:$C$48,MATCH(C18,Test_Catalog!$A$2:$A$48,0)),"")</f>
        <v/>
      </c>
      <c r="E18" s="29" t="inlineStr">
        <is>
          <t>RDS</t>
        </is>
      </c>
      <c r="F18" s="29" t="inlineStr">
        <is>
          <t>Multi-AZ failover drill under load</t>
        </is>
      </c>
      <c r="G18" s="29" t="inlineStr">
        <is>
          <t>RTO &lt;= 2 min; no committed data lost</t>
        </is>
      </c>
      <c r="H18" s="29" t="inlineStr">
        <is>
          <t>Runbook drill</t>
        </is>
      </c>
      <c r="I18" s="29" t="inlineStr">
        <is>
          <t>P0</t>
        </is>
      </c>
      <c r="J18" s="31" t="inlineStr">
        <is>
          <t>Y</t>
        </is>
      </c>
      <c r="K18" s="31" t="inlineStr">
        <is>
          <t>Not Run</t>
        </is>
      </c>
      <c r="L18" s="34" t="n"/>
      <c r="M18" s="31" t="n"/>
      <c r="N18" s="31" t="n"/>
      <c r="O18" s="31" t="n"/>
    </row>
    <row r="19">
      <c r="A19" s="29" t="inlineStr">
        <is>
          <t>TC-PLT-017</t>
        </is>
      </c>
      <c r="B19" s="29" t="inlineStr">
        <is>
          <t>Platform</t>
        </is>
      </c>
      <c r="C19" s="29" t="inlineStr">
        <is>
          <t>Chaos engineering</t>
        </is>
      </c>
      <c r="D19" s="29">
        <f>IFERROR(INDEX(Test_Catalog!$C$2:$C$48,MATCH(C19,Test_Catalog!$A$2:$A$48,0)),"")</f>
        <v/>
      </c>
      <c r="E19" s="29" t="inlineStr">
        <is>
          <t>Game day</t>
        </is>
      </c>
      <c r="F19" s="29" t="inlineStr">
        <is>
          <t>Run every Chaos_Resilience experiment for P0</t>
        </is>
      </c>
      <c r="G19" s="29" t="inlineStr">
        <is>
          <t>All PASS</t>
        </is>
      </c>
      <c r="H19" s="29" t="inlineStr">
        <is>
          <t>Chaos Mesh</t>
        </is>
      </c>
      <c r="I19" s="29" t="inlineStr">
        <is>
          <t>P1</t>
        </is>
      </c>
      <c r="J19" s="31" t="inlineStr">
        <is>
          <t>Y</t>
        </is>
      </c>
      <c r="K19" s="31" t="inlineStr">
        <is>
          <t>Not Run</t>
        </is>
      </c>
      <c r="L19" s="34" t="n"/>
      <c r="M19" s="31" t="n"/>
      <c r="N19" s="31" t="n"/>
      <c r="O19" s="31" t="n"/>
    </row>
    <row r="20">
      <c r="A20" s="29" t="inlineStr">
        <is>
          <t>TC-PLT-018</t>
        </is>
      </c>
      <c r="B20" s="29" t="inlineStr">
        <is>
          <t>Platform</t>
        </is>
      </c>
      <c r="C20" s="29" t="inlineStr">
        <is>
          <t>Capacity planning</t>
        </is>
      </c>
      <c r="D20" s="29">
        <f>IFERROR(INDEX(Test_Catalog!$C$2:$C$48,MATCH(C20,Test_Catalog!$A$2:$A$48,0)),"")</f>
        <v/>
      </c>
      <c r="E20" s="29" t="inlineStr">
        <is>
          <t>Platform</t>
        </is>
      </c>
      <c r="F20" s="29" t="inlineStr">
        <is>
          <t>Measure CPU/mem/cost per 1,000 tenants</t>
        </is>
      </c>
      <c r="G20" s="29" t="inlineStr">
        <is>
          <t>Capacity model in design doc</t>
        </is>
      </c>
      <c r="H20" s="29" t="inlineStr">
        <is>
          <t>k6 + Cost Explorer</t>
        </is>
      </c>
      <c r="I20" s="29" t="inlineStr">
        <is>
          <t>P2</t>
        </is>
      </c>
      <c r="J20" s="31" t="inlineStr">
        <is>
          <t>Y</t>
        </is>
      </c>
      <c r="K20" s="31" t="inlineStr">
        <is>
          <t>Not Run</t>
        </is>
      </c>
      <c r="L20" s="34" t="n"/>
      <c r="M20" s="31" t="n"/>
      <c r="N20" s="31" t="n"/>
      <c r="O20" s="31" t="n"/>
    </row>
    <row r="21">
      <c r="A21" s="29" t="inlineStr">
        <is>
          <t>TC-PLT-019</t>
        </is>
      </c>
      <c r="B21" s="29" t="inlineStr">
        <is>
          <t>Platform</t>
        </is>
      </c>
      <c r="C21" s="29" t="inlineStr">
        <is>
          <t>Penetration test (checklist)</t>
        </is>
      </c>
      <c r="D21" s="29">
        <f>IFERROR(INDEX(Test_Catalog!$C$2:$C$48,MATCH(C21,Test_Catalog!$A$2:$A$48,0)),"")</f>
        <v/>
      </c>
      <c r="E21" s="29" t="inlineStr">
        <is>
          <t>Public API</t>
        </is>
      </c>
      <c r="F21" s="29" t="inlineStr">
        <is>
          <t>OWASP ASVS L2 + API Top 10 checklist</t>
        </is>
      </c>
      <c r="G21" s="29" t="inlineStr">
        <is>
          <t>No open high findings</t>
        </is>
      </c>
      <c r="H21" s="29" t="inlineStr">
        <is>
          <t>Burp Suite</t>
        </is>
      </c>
      <c r="I21" s="29" t="inlineStr">
        <is>
          <t>P0</t>
        </is>
      </c>
      <c r="J21" s="31" t="inlineStr">
        <is>
          <t>Y</t>
        </is>
      </c>
      <c r="K21" s="31" t="inlineStr">
        <is>
          <t>Not Run</t>
        </is>
      </c>
      <c r="L21" s="34" t="n"/>
      <c r="M21" s="31" t="n"/>
      <c r="N21" s="31" t="n"/>
      <c r="O21" s="31" t="n"/>
    </row>
    <row r="22">
      <c r="A22" s="29" t="inlineStr">
        <is>
          <t>TC-MB-001</t>
        </is>
      </c>
      <c r="B22" s="29" t="inlineStr">
        <is>
          <t>Product</t>
        </is>
      </c>
      <c r="C22" s="29" t="inlineStr">
        <is>
          <t>Unit</t>
        </is>
      </c>
      <c r="D22" s="29">
        <f>IFERROR(INDEX(Test_Catalog!$C$2:$C$48,MATCH(C22,Test_Catalog!$A$2:$A$48,0)),"")</f>
        <v/>
      </c>
      <c r="E22" s="29" t="inlineStr">
        <is>
          <t>Pricing</t>
        </is>
      </c>
      <c r="F22" s="29" t="inlineStr">
        <is>
          <t>Tiered price exactly at tier boundary</t>
        </is>
      </c>
      <c r="G22" s="29" t="inlineStr">
        <is>
          <t>Exact amount in minor units</t>
        </is>
      </c>
      <c r="H22" s="29" t="inlineStr">
        <is>
          <t>JUnit 5</t>
        </is>
      </c>
      <c r="I22" s="29" t="inlineStr">
        <is>
          <t>P0</t>
        </is>
      </c>
      <c r="J22" s="31" t="inlineStr">
        <is>
          <t>Y</t>
        </is>
      </c>
      <c r="K22" s="31" t="inlineStr">
        <is>
          <t>Not Run</t>
        </is>
      </c>
      <c r="L22" s="34" t="n"/>
      <c r="M22" s="31" t="n"/>
      <c r="N22" s="31" t="n"/>
      <c r="O22" s="31" t="n"/>
    </row>
    <row r="23">
      <c r="A23" s="29" t="inlineStr">
        <is>
          <t>TC-MB-002</t>
        </is>
      </c>
      <c r="B23" s="29" t="inlineStr">
        <is>
          <t>Product</t>
        </is>
      </c>
      <c r="C23" s="29" t="inlineStr">
        <is>
          <t>Property-based</t>
        </is>
      </c>
      <c r="D23" s="29">
        <f>IFERROR(INDEX(Test_Catalog!$C$2:$C$48,MATCH(C23,Test_Catalog!$A$2:$A$48,0)),"")</f>
        <v/>
      </c>
      <c r="E23" s="29" t="inlineStr">
        <is>
          <t>Ledger</t>
        </is>
      </c>
      <c r="F23" s="29" t="inlineStr">
        <is>
          <t>10k random transaction sequences</t>
        </is>
      </c>
      <c r="G23" s="29" t="inlineStr">
        <is>
          <t>sum(debits) == sum(credits) always</t>
        </is>
      </c>
      <c r="H23" s="29" t="inlineStr">
        <is>
          <t>jqwik</t>
        </is>
      </c>
      <c r="I23" s="29" t="inlineStr">
        <is>
          <t>P0</t>
        </is>
      </c>
      <c r="J23" s="31" t="inlineStr">
        <is>
          <t>Y</t>
        </is>
      </c>
      <c r="K23" s="31" t="inlineStr">
        <is>
          <t>Not Run</t>
        </is>
      </c>
      <c r="L23" s="34" t="n"/>
      <c r="M23" s="31" t="n"/>
      <c r="N23" s="31" t="n"/>
      <c r="O23" s="31" t="n"/>
    </row>
    <row r="24">
      <c r="A24" s="29" t="inlineStr">
        <is>
          <t>TC-MB-003</t>
        </is>
      </c>
      <c r="B24" s="29" t="inlineStr">
        <is>
          <t>Product</t>
        </is>
      </c>
      <c r="C24" s="29" t="inlineStr">
        <is>
          <t>Mutation</t>
        </is>
      </c>
      <c r="D24" s="29">
        <f>IFERROR(INDEX(Test_Catalog!$C$2:$C$48,MATCH(C24,Test_Catalog!$A$2:$A$48,0)),"")</f>
        <v/>
      </c>
      <c r="E24" s="29" t="inlineStr">
        <is>
          <t>Pricing</t>
        </is>
      </c>
      <c r="F24" s="29" t="inlineStr">
        <is>
          <t>PIT mutation run on pricing module</t>
        </is>
      </c>
      <c r="G24" s="29" t="inlineStr">
        <is>
          <t>Mutation score &gt;= 75%</t>
        </is>
      </c>
      <c r="H24" s="29" t="inlineStr">
        <is>
          <t>PIT</t>
        </is>
      </c>
      <c r="I24" s="29" t="inlineStr">
        <is>
          <t>P1</t>
        </is>
      </c>
      <c r="J24" s="31" t="inlineStr">
        <is>
          <t>Y</t>
        </is>
      </c>
      <c r="K24" s="31" t="inlineStr">
        <is>
          <t>Not Run</t>
        </is>
      </c>
      <c r="L24" s="34" t="n"/>
      <c r="M24" s="31" t="n"/>
      <c r="N24" s="31" t="n"/>
      <c r="O24" s="31" t="n"/>
    </row>
    <row r="25">
      <c r="A25" s="29" t="inlineStr">
        <is>
          <t>TC-MB-004</t>
        </is>
      </c>
      <c r="B25" s="29" t="inlineStr">
        <is>
          <t>Product</t>
        </is>
      </c>
      <c r="C25" s="29" t="inlineStr">
        <is>
          <t>Functional</t>
        </is>
      </c>
      <c r="D25" s="29">
        <f>IFERROR(INDEX(Test_Catalog!$C$2:$C$48,MATCH(C25,Test_Catalog!$A$2:$A$48,0)),"")</f>
        <v/>
      </c>
      <c r="E25" s="29" t="inlineStr">
        <is>
          <t>API</t>
        </is>
      </c>
      <c r="F25" s="29" t="inlineStr">
        <is>
          <t>Create customer -&gt; subscribe -&gt; ingest usage -&gt; invoice</t>
        </is>
      </c>
      <c r="G25" s="29" t="inlineStr">
        <is>
          <t>Invoice total matches golden file</t>
        </is>
      </c>
      <c r="H25" s="29" t="inlineStr">
        <is>
          <t>RestAssured</t>
        </is>
      </c>
      <c r="I25" s="29" t="inlineStr">
        <is>
          <t>P0</t>
        </is>
      </c>
      <c r="J25" s="31" t="inlineStr">
        <is>
          <t>Y</t>
        </is>
      </c>
      <c r="K25" s="31" t="inlineStr">
        <is>
          <t>Not Run</t>
        </is>
      </c>
      <c r="L25" s="34" t="n"/>
      <c r="M25" s="31" t="n"/>
      <c r="N25" s="31" t="n"/>
      <c r="O25" s="31" t="n"/>
    </row>
    <row r="26">
      <c r="A26" s="29" t="inlineStr">
        <is>
          <t>TC-MB-005</t>
        </is>
      </c>
      <c r="B26" s="29" t="inlineStr">
        <is>
          <t>Product</t>
        </is>
      </c>
      <c r="C26" s="29" t="inlineStr">
        <is>
          <t>Idempotency</t>
        </is>
      </c>
      <c r="D26" s="29">
        <f>IFERROR(INDEX(Test_Catalog!$C$2:$C$48,MATCH(C26,Test_Catalog!$A$2:$A$48,0)),"")</f>
        <v/>
      </c>
      <c r="E26" s="29" t="inlineStr">
        <is>
          <t>Payments API</t>
        </is>
      </c>
      <c r="F26" s="29" t="inlineStr">
        <is>
          <t>Same Idempotency-Key POSTed twice concurrently</t>
        </is>
      </c>
      <c r="G26" s="29" t="inlineStr">
        <is>
          <t>One ledger entry; identical responses</t>
        </is>
      </c>
      <c r="H26" s="29" t="inlineStr">
        <is>
          <t>Custom harness</t>
        </is>
      </c>
      <c r="I26" s="29" t="inlineStr">
        <is>
          <t>P0</t>
        </is>
      </c>
      <c r="J26" s="31" t="inlineStr">
        <is>
          <t>Y</t>
        </is>
      </c>
      <c r="K26" s="31" t="inlineStr">
        <is>
          <t>Not Run</t>
        </is>
      </c>
      <c r="L26" s="34" t="n"/>
      <c r="M26" s="31" t="n"/>
      <c r="N26" s="31" t="n"/>
      <c r="O26" s="31" t="n"/>
    </row>
    <row r="27">
      <c r="A27" s="29" t="inlineStr">
        <is>
          <t>TC-MB-006</t>
        </is>
      </c>
      <c r="B27" s="29" t="inlineStr">
        <is>
          <t>Product</t>
        </is>
      </c>
      <c r="C27" s="29" t="inlineStr">
        <is>
          <t>Concurrency / Race</t>
        </is>
      </c>
      <c r="D27" s="29">
        <f>IFERROR(INDEX(Test_Catalog!$C$2:$C$48,MATCH(C27,Test_Catalog!$A$2:$A$48,0)),"")</f>
        <v/>
      </c>
      <c r="E27" s="29" t="inlineStr">
        <is>
          <t>Ledger</t>
        </is>
      </c>
      <c r="F27" s="29" t="inlineStr">
        <is>
          <t>100 concurrent debits on one account</t>
        </is>
      </c>
      <c r="G27" s="29" t="inlineStr">
        <is>
          <t>No overdraft; no lost updates</t>
        </is>
      </c>
      <c r="H27" s="29" t="inlineStr">
        <is>
          <t>jcstress / harness</t>
        </is>
      </c>
      <c r="I27" s="29" t="inlineStr">
        <is>
          <t>P0</t>
        </is>
      </c>
      <c r="J27" s="31" t="inlineStr">
        <is>
          <t>Y</t>
        </is>
      </c>
      <c r="K27" s="31" t="inlineStr">
        <is>
          <t>Not Run</t>
        </is>
      </c>
      <c r="L27" s="34" t="n"/>
      <c r="M27" s="31" t="n"/>
      <c r="N27" s="31" t="n"/>
      <c r="O27" s="31" t="n"/>
    </row>
    <row r="28">
      <c r="A28" s="29" t="inlineStr">
        <is>
          <t>TC-MB-007</t>
        </is>
      </c>
      <c r="B28" s="29" t="inlineStr">
        <is>
          <t>Product</t>
        </is>
      </c>
      <c r="C28" s="29" t="inlineStr">
        <is>
          <t>Contract (consumer-driven)</t>
        </is>
      </c>
      <c r="D28" s="29">
        <f>IFERROR(INDEX(Test_Catalog!$C$2:$C$48,MATCH(C28,Test_Catalog!$A$2:$A$48,0)),"")</f>
        <v/>
      </c>
      <c r="E28" s="29" t="inlineStr">
        <is>
          <t>Webhooks</t>
        </is>
      </c>
      <c r="F28" s="29" t="inlineStr">
        <is>
          <t>Consumer pact for invoice.paid event</t>
        </is>
      </c>
      <c r="G28" s="29" t="inlineStr">
        <is>
          <t>Pact verified by provider</t>
        </is>
      </c>
      <c r="H28" s="29" t="inlineStr">
        <is>
          <t>Pact JVM</t>
        </is>
      </c>
      <c r="I28" s="29" t="inlineStr">
        <is>
          <t>P1</t>
        </is>
      </c>
      <c r="J28" s="31" t="inlineStr">
        <is>
          <t>Y</t>
        </is>
      </c>
      <c r="K28" s="31" t="inlineStr">
        <is>
          <t>Not Run</t>
        </is>
      </c>
      <c r="L28" s="34" t="n"/>
      <c r="M28" s="31" t="n"/>
      <c r="N28" s="31" t="n"/>
      <c r="O28" s="31" t="n"/>
    </row>
    <row r="29">
      <c r="A29" s="29" t="inlineStr">
        <is>
          <t>TC-MB-008</t>
        </is>
      </c>
      <c r="B29" s="29" t="inlineStr">
        <is>
          <t>Product</t>
        </is>
      </c>
      <c r="C29" s="29" t="inlineStr">
        <is>
          <t>Integration</t>
        </is>
      </c>
      <c r="D29" s="29">
        <f>IFERROR(INDEX(Test_Catalog!$C$2:$C$48,MATCH(C29,Test_Catalog!$A$2:$A$48,0)),"")</f>
        <v/>
      </c>
      <c r="E29" s="29" t="inlineStr">
        <is>
          <t>Outbox</t>
        </is>
      </c>
      <c r="F29" s="29" t="inlineStr">
        <is>
          <t>Kill pod after DB commit, before publish</t>
        </is>
      </c>
      <c r="G29" s="29" t="inlineStr">
        <is>
          <t>Event delivered exactly once downstream</t>
        </is>
      </c>
      <c r="H29" s="29" t="inlineStr">
        <is>
          <t>Testcontainers + Toxiproxy</t>
        </is>
      </c>
      <c r="I29" s="29" t="inlineStr">
        <is>
          <t>P0</t>
        </is>
      </c>
      <c r="J29" s="31" t="inlineStr">
        <is>
          <t>Y</t>
        </is>
      </c>
      <c r="K29" s="31" t="inlineStr">
        <is>
          <t>Not Run</t>
        </is>
      </c>
      <c r="L29" s="34" t="n"/>
      <c r="M29" s="31" t="n"/>
      <c r="N29" s="31" t="n"/>
      <c r="O29" s="31" t="n"/>
    </row>
    <row r="30">
      <c r="A30" s="29" t="inlineStr">
        <is>
          <t>TC-MB-009</t>
        </is>
      </c>
      <c r="B30" s="29" t="inlineStr">
        <is>
          <t>Product</t>
        </is>
      </c>
      <c r="C30" s="29" t="inlineStr">
        <is>
          <t>Regression</t>
        </is>
      </c>
      <c r="D30" s="29">
        <f>IFERROR(INDEX(Test_Catalog!$C$2:$C$48,MATCH(C30,Test_Catalog!$A$2:$A$48,0)),"")</f>
        <v/>
      </c>
      <c r="E30" s="29" t="inlineStr">
        <is>
          <t>Invoicing</t>
        </is>
      </c>
      <c r="F30" s="29" t="inlineStr">
        <is>
          <t>Golden-file invoice suite (50 scenarios)</t>
        </is>
      </c>
      <c r="G30" s="29" t="inlineStr">
        <is>
          <t>No diff</t>
        </is>
      </c>
      <c r="H30" s="29" t="inlineStr">
        <is>
          <t>JUnit golden files</t>
        </is>
      </c>
      <c r="I30" s="29" t="inlineStr">
        <is>
          <t>P0</t>
        </is>
      </c>
      <c r="J30" s="31" t="inlineStr">
        <is>
          <t>Y</t>
        </is>
      </c>
      <c r="K30" s="31" t="inlineStr">
        <is>
          <t>Not Run</t>
        </is>
      </c>
      <c r="L30" s="34" t="n"/>
      <c r="M30" s="31" t="n"/>
      <c r="N30" s="31" t="n"/>
      <c r="O30" s="31" t="n"/>
    </row>
    <row r="31">
      <c r="A31" s="29" t="inlineStr">
        <is>
          <t>TC-MB-010</t>
        </is>
      </c>
      <c r="B31" s="29" t="inlineStr">
        <is>
          <t>Product</t>
        </is>
      </c>
      <c r="C31" s="29" t="inlineStr">
        <is>
          <t>Boundary value / Equivalence partitioning</t>
        </is>
      </c>
      <c r="D31" s="29">
        <f>IFERROR(INDEX(Test_Catalog!$C$2:$C$48,MATCH(C31,Test_Catalog!$A$2:$A$48,0)),"")</f>
        <v/>
      </c>
      <c r="E31" s="29" t="inlineStr">
        <is>
          <t>Currency</t>
        </is>
      </c>
      <c r="F31" s="29" t="inlineStr">
        <is>
          <t>JPY (0 decimals) and KWD (3 decimals)</t>
        </is>
      </c>
      <c r="G31" s="29" t="inlineStr">
        <is>
          <t>Correct rounding; no float math</t>
        </is>
      </c>
      <c r="H31" s="29" t="inlineStr">
        <is>
          <t>JUnit params</t>
        </is>
      </c>
      <c r="I31" s="29" t="inlineStr">
        <is>
          <t>P0</t>
        </is>
      </c>
      <c r="J31" s="31" t="inlineStr">
        <is>
          <t>Y</t>
        </is>
      </c>
      <c r="K31" s="31" t="inlineStr">
        <is>
          <t>Not Run</t>
        </is>
      </c>
      <c r="L31" s="34" t="n"/>
      <c r="M31" s="31" t="n"/>
      <c r="N31" s="31" t="n"/>
      <c r="O31" s="31" t="n"/>
    </row>
    <row r="32">
      <c r="A32" s="29" t="inlineStr">
        <is>
          <t>TC-MB-011</t>
        </is>
      </c>
      <c r="B32" s="29" t="inlineStr">
        <is>
          <t>Product</t>
        </is>
      </c>
      <c r="C32" s="29" t="inlineStr">
        <is>
          <t>Fuzz</t>
        </is>
      </c>
      <c r="D32" s="29">
        <f>IFERROR(INDEX(Test_Catalog!$C$2:$C$48,MATCH(C32,Test_Catalog!$A$2:$A$48,0)),"")</f>
        <v/>
      </c>
      <c r="E32" s="29" t="inlineStr">
        <is>
          <t>Usage API</t>
        </is>
      </c>
      <c r="F32" s="29" t="inlineStr">
        <is>
          <t>Malformed JSON and huge payloads</t>
        </is>
      </c>
      <c r="G32" s="29" t="inlineStr">
        <is>
          <t>4xx only; no 5xx or crash</t>
        </is>
      </c>
      <c r="H32" s="29" t="inlineStr">
        <is>
          <t>Jazzer</t>
        </is>
      </c>
      <c r="I32" s="29" t="inlineStr">
        <is>
          <t>P1</t>
        </is>
      </c>
      <c r="J32" s="31" t="inlineStr">
        <is>
          <t>Y</t>
        </is>
      </c>
      <c r="K32" s="31" t="inlineStr">
        <is>
          <t>Not Run</t>
        </is>
      </c>
      <c r="L32" s="34" t="n"/>
      <c r="M32" s="31" t="n"/>
      <c r="N32" s="31" t="n"/>
      <c r="O32" s="31" t="n"/>
    </row>
    <row r="33">
      <c r="A33" s="29" t="inlineStr">
        <is>
          <t>TC-MB-012</t>
        </is>
      </c>
      <c r="B33" s="29" t="inlineStr">
        <is>
          <t>Product</t>
        </is>
      </c>
      <c r="C33" s="29" t="inlineStr">
        <is>
          <t>End-to-End (E2E)</t>
        </is>
      </c>
      <c r="D33" s="29">
        <f>IFERROR(INDEX(Test_Catalog!$C$2:$C$48,MATCH(C33,Test_Catalog!$A$2:$A$48,0)),"")</f>
        <v/>
      </c>
      <c r="E33" s="29" t="inlineStr">
        <is>
          <t>Portal</t>
        </is>
      </c>
      <c r="F33" s="29" t="inlineStr">
        <is>
          <t>Customer updates payment method mid-dunning</t>
        </is>
      </c>
      <c r="G33" s="29" t="inlineStr">
        <is>
          <t>Dunning stops; invoice paid</t>
        </is>
      </c>
      <c r="H33" s="29" t="inlineStr">
        <is>
          <t>Playwright</t>
        </is>
      </c>
      <c r="I33" s="29" t="inlineStr">
        <is>
          <t>P1</t>
        </is>
      </c>
      <c r="J33" s="31" t="inlineStr">
        <is>
          <t>Y</t>
        </is>
      </c>
      <c r="K33" s="31" t="inlineStr">
        <is>
          <t>Not Run</t>
        </is>
      </c>
      <c r="L33" s="34" t="n"/>
      <c r="M33" s="31" t="n"/>
      <c r="N33" s="31" t="n"/>
      <c r="O33" s="31" t="n"/>
    </row>
    <row r="34">
      <c r="A34" s="29" t="inlineStr">
        <is>
          <t>TC-MB-013</t>
        </is>
      </c>
      <c r="B34" s="29" t="inlineStr">
        <is>
          <t>Product</t>
        </is>
      </c>
      <c r="C34" s="29" t="inlineStr">
        <is>
          <t>Data integrity / Invariant</t>
        </is>
      </c>
      <c r="D34" s="29">
        <f>IFERROR(INDEX(Test_Catalog!$C$2:$C$48,MATCH(C34,Test_Catalog!$A$2:$A$48,0)),"")</f>
        <v/>
      </c>
      <c r="E34" s="29" t="inlineStr">
        <is>
          <t>Reconciliation</t>
        </is>
      </c>
      <c r="F34" s="29" t="inlineStr">
        <is>
          <t>Inject a PSP payout mismatch</t>
        </is>
      </c>
      <c r="G34" s="29" t="inlineStr">
        <is>
          <t>Flagged in daily report</t>
        </is>
      </c>
      <c r="H34" s="29" t="inlineStr">
        <is>
          <t>Invariant checker</t>
        </is>
      </c>
      <c r="I34" s="29" t="inlineStr">
        <is>
          <t>P0</t>
        </is>
      </c>
      <c r="J34" s="31" t="inlineStr">
        <is>
          <t>Y</t>
        </is>
      </c>
      <c r="K34" s="31" t="inlineStr">
        <is>
          <t>Not Run</t>
        </is>
      </c>
      <c r="L34" s="34" t="n"/>
      <c r="M34" s="31" t="n"/>
      <c r="N34" s="31" t="n"/>
      <c r="O34" s="31" t="n"/>
    </row>
    <row r="35">
      <c r="A35" s="29" t="inlineStr">
        <is>
          <t>TC-MB-014</t>
        </is>
      </c>
      <c r="B35" s="29" t="inlineStr">
        <is>
          <t>Product</t>
        </is>
      </c>
      <c r="C35" s="29" t="inlineStr">
        <is>
          <t>AuthN / AuthZ &amp; tenant isolation</t>
        </is>
      </c>
      <c r="D35" s="29">
        <f>IFERROR(INDEX(Test_Catalog!$C$2:$C$48,MATCH(C35,Test_Catalog!$A$2:$A$48,0)),"")</f>
        <v/>
      </c>
      <c r="E35" s="29" t="inlineStr">
        <is>
          <t>Webhooks</t>
        </is>
      </c>
      <c r="F35" s="29" t="inlineStr">
        <is>
          <t>Inbound webhook with tampered signature</t>
        </is>
      </c>
      <c r="G35" s="29" t="inlineStr">
        <is>
          <t>Rejected 400; logged</t>
        </is>
      </c>
      <c r="H35" s="29" t="inlineStr">
        <is>
          <t>Custom suite</t>
        </is>
      </c>
      <c r="I35" s="29" t="inlineStr">
        <is>
          <t>P0</t>
        </is>
      </c>
      <c r="J35" s="31" t="inlineStr">
        <is>
          <t>Y</t>
        </is>
      </c>
      <c r="K35" s="31" t="inlineStr">
        <is>
          <t>Not Run</t>
        </is>
      </c>
      <c r="L35" s="34" t="n"/>
      <c r="M35" s="31" t="n"/>
      <c r="N35" s="31" t="n"/>
      <c r="O35" s="31" t="n"/>
    </row>
    <row r="36">
      <c r="A36" s="29" t="inlineStr">
        <is>
          <t>TC-MB-015</t>
        </is>
      </c>
      <c r="B36" s="29" t="inlineStr">
        <is>
          <t>Product</t>
        </is>
      </c>
      <c r="C36" s="29" t="inlineStr">
        <is>
          <t>Database migration</t>
        </is>
      </c>
      <c r="D36" s="29">
        <f>IFERROR(INDEX(Test_Catalog!$C$2:$C$48,MATCH(C36,Test_Catalog!$A$2:$A$48,0)),"")</f>
        <v/>
      </c>
      <c r="E36" s="29" t="inlineStr">
        <is>
          <t>Schema</t>
        </is>
      </c>
      <c r="F36" s="29" t="inlineStr">
        <is>
          <t>Migration on 10M-row ledger table</t>
        </is>
      </c>
      <c r="G36" s="29" t="inlineStr">
        <is>
          <t>No lock &gt; 1 s; rollback works</t>
        </is>
      </c>
      <c r="H36" s="29" t="inlineStr">
        <is>
          <t>Flyway + Testcontainers</t>
        </is>
      </c>
      <c r="I36" s="29" t="inlineStr">
        <is>
          <t>P1</t>
        </is>
      </c>
      <c r="J36" s="31" t="inlineStr">
        <is>
          <t>Y</t>
        </is>
      </c>
      <c r="K36" s="31" t="inlineStr">
        <is>
          <t>Not Run</t>
        </is>
      </c>
      <c r="L36" s="34" t="n"/>
      <c r="M36" s="31" t="n"/>
      <c r="N36" s="31" t="n"/>
      <c r="O36" s="31" t="n"/>
    </row>
    <row r="37">
      <c r="A37" s="29" t="inlineStr">
        <is>
          <t>TC-MB-016</t>
        </is>
      </c>
      <c r="B37" s="29" t="inlineStr">
        <is>
          <t>Product</t>
        </is>
      </c>
      <c r="C37" s="29" t="inlineStr">
        <is>
          <t>User Acceptance (UAT)</t>
        </is>
      </c>
      <c r="D37" s="29">
        <f>IFERROR(INDEX(Test_Catalog!$C$2:$C$48,MATCH(C37,Test_Catalog!$A$2:$A$48,0)),"")</f>
        <v/>
      </c>
      <c r="E37" s="29" t="inlineStr">
        <is>
          <t>Billing</t>
        </is>
      </c>
      <c r="F37" s="29" t="inlineStr">
        <is>
          <t>Finance persona runs month-end close</t>
        </is>
      </c>
      <c r="G37" s="29" t="inlineStr">
        <is>
          <t>Persona signs off</t>
        </is>
      </c>
      <c r="H37" s="29" t="inlineStr">
        <is>
          <t>Scripted walkthrough</t>
        </is>
      </c>
      <c r="I37" s="29" t="inlineStr">
        <is>
          <t>P1</t>
        </is>
      </c>
      <c r="J37" s="31" t="inlineStr">
        <is>
          <t>Y</t>
        </is>
      </c>
      <c r="K37" s="31" t="inlineStr">
        <is>
          <t>Not Run</t>
        </is>
      </c>
      <c r="L37" s="34" t="n"/>
      <c r="M37" s="31" t="n"/>
      <c r="N37" s="31" t="n"/>
      <c r="O37" s="31" t="n"/>
    </row>
    <row r="38">
      <c r="A38" s="29" t="inlineStr">
        <is>
          <t>TC-MB-017</t>
        </is>
      </c>
      <c r="B38" s="29" t="inlineStr">
        <is>
          <t>Product</t>
        </is>
      </c>
      <c r="C38" s="29" t="inlineStr">
        <is>
          <t>Component / Service</t>
        </is>
      </c>
      <c r="D38" s="29">
        <f>IFERROR(INDEX(Test_Catalog!$C$2:$C$48,MATCH(C38,Test_Catalog!$A$2:$A$48,0)),"")</f>
        <v/>
      </c>
      <c r="E38" s="29" t="inlineStr">
        <is>
          <t>Ledger service</t>
        </is>
      </c>
      <c r="F38" s="29" t="inlineStr">
        <is>
          <t>Ledger service with PSP stubbed (WireMock)</t>
        </is>
      </c>
      <c r="G38" s="29" t="inlineStr">
        <is>
          <t>All flows pass with stub faults injected</t>
        </is>
      </c>
      <c r="H38" s="29" t="inlineStr">
        <is>
          <t>WireMock + RestAssured</t>
        </is>
      </c>
      <c r="I38" s="29" t="inlineStr">
        <is>
          <t>P0</t>
        </is>
      </c>
      <c r="J38" s="31" t="inlineStr">
        <is>
          <t>Y</t>
        </is>
      </c>
      <c r="K38" s="31" t="inlineStr">
        <is>
          <t>Not Run</t>
        </is>
      </c>
      <c r="L38" s="34" t="n"/>
      <c r="M38" s="31" t="n"/>
      <c r="N38" s="31" t="n"/>
      <c r="O38" s="31" t="n"/>
    </row>
    <row r="39">
      <c r="A39" s="29" t="inlineStr">
        <is>
          <t>TC-MB-018</t>
        </is>
      </c>
      <c r="B39" s="29" t="inlineStr">
        <is>
          <t>Product</t>
        </is>
      </c>
      <c r="C39" s="29" t="inlineStr">
        <is>
          <t>API (schema-based)</t>
        </is>
      </c>
      <c r="D39" s="29">
        <f>IFERROR(INDEX(Test_Catalog!$C$2:$C$48,MATCH(C39,Test_Catalog!$A$2:$A$48,0)),"")</f>
        <v/>
      </c>
      <c r="E39" s="29" t="inlineStr">
        <is>
          <t>Public API</t>
        </is>
      </c>
      <c r="F39" s="29" t="inlineStr">
        <is>
          <t>Schemathesis over full OpenAPI spec</t>
        </is>
      </c>
      <c r="G39" s="29" t="inlineStr">
        <is>
          <t>0 spec violations; 0 5xx</t>
        </is>
      </c>
      <c r="H39" s="29" t="inlineStr">
        <is>
          <t>Schemathesis</t>
        </is>
      </c>
      <c r="I39" s="29" t="inlineStr">
        <is>
          <t>P0</t>
        </is>
      </c>
      <c r="J39" s="31" t="inlineStr">
        <is>
          <t>Y</t>
        </is>
      </c>
      <c r="K39" s="31" t="inlineStr">
        <is>
          <t>Not Run</t>
        </is>
      </c>
      <c r="L39" s="34" t="n"/>
      <c r="M39" s="31" t="n"/>
      <c r="N39" s="31" t="n"/>
      <c r="O39" s="31" t="n"/>
    </row>
    <row r="40">
      <c r="A40" s="29" t="inlineStr">
        <is>
          <t>TC-MB-019</t>
        </is>
      </c>
      <c r="B40" s="29" t="inlineStr">
        <is>
          <t>Product</t>
        </is>
      </c>
      <c r="C40" s="29" t="inlineStr">
        <is>
          <t>Accessibility (portal)</t>
        </is>
      </c>
      <c r="D40" s="29">
        <f>IFERROR(INDEX(Test_Catalog!$C$2:$C$48,MATCH(C40,Test_Catalog!$A$2:$A$48,0)),"")</f>
        <v/>
      </c>
      <c r="E40" s="29" t="inlineStr">
        <is>
          <t>Portal</t>
        </is>
      </c>
      <c r="F40" s="29" t="inlineStr">
        <is>
          <t>axe-core scan of every portal page</t>
        </is>
      </c>
      <c r="G40" s="29" t="inlineStr">
        <is>
          <t>0 serious violations</t>
        </is>
      </c>
      <c r="H40" s="29" t="inlineStr">
        <is>
          <t>axe-core + Playwright</t>
        </is>
      </c>
      <c r="I40" s="29" t="inlineStr">
        <is>
          <t>P2</t>
        </is>
      </c>
      <c r="J40" s="31" t="inlineStr">
        <is>
          <t>Y</t>
        </is>
      </c>
      <c r="K40" s="31" t="inlineStr">
        <is>
          <t>Not Run</t>
        </is>
      </c>
      <c r="L40" s="34" t="n"/>
      <c r="M40" s="31" t="n"/>
      <c r="N40" s="31" t="n"/>
      <c r="O40" s="31" t="n"/>
    </row>
    <row r="41">
      <c r="A41" s="29" t="inlineStr">
        <is>
          <t>TC-MB-020</t>
        </is>
      </c>
      <c r="B41" s="29" t="inlineStr">
        <is>
          <t>Product</t>
        </is>
      </c>
      <c r="C41" s="29" t="inlineStr">
        <is>
          <t>Usability</t>
        </is>
      </c>
      <c r="D41" s="29">
        <f>IFERROR(INDEX(Test_Catalog!$C$2:$C$48,MATCH(C41,Test_Catalog!$A$2:$A$48,0)),"")</f>
        <v/>
      </c>
      <c r="E41" s="29" t="inlineStr">
        <is>
          <t>Docs</t>
        </is>
      </c>
      <c r="F41" s="29" t="inlineStr">
        <is>
          <t>New developer completes quickstart unaided</t>
        </is>
      </c>
      <c r="G41" s="29" t="inlineStr">
        <is>
          <t>&lt; 5 min (timed)</t>
        </is>
      </c>
      <c r="H41" s="29" t="inlineStr">
        <is>
          <t>Recorded session</t>
        </is>
      </c>
      <c r="I41" s="29" t="inlineStr">
        <is>
          <t>P1</t>
        </is>
      </c>
      <c r="J41" s="31" t="inlineStr">
        <is>
          <t>Y</t>
        </is>
      </c>
      <c r="K41" s="31" t="inlineStr">
        <is>
          <t>Not Run</t>
        </is>
      </c>
      <c r="L41" s="34" t="n"/>
      <c r="M41" s="31" t="n"/>
      <c r="N41" s="31" t="n"/>
      <c r="O41" s="31" t="n"/>
    </row>
    <row r="42">
      <c r="A42" s="29" t="inlineStr">
        <is>
          <t>TC-MB-021</t>
        </is>
      </c>
      <c r="B42" s="29" t="inlineStr">
        <is>
          <t>Product</t>
        </is>
      </c>
      <c r="C42" s="29" t="inlineStr">
        <is>
          <t>Load</t>
        </is>
      </c>
      <c r="D42" s="29">
        <f>IFERROR(INDEX(Test_Catalog!$C$2:$C$48,MATCH(C42,Test_Catalog!$A$2:$A$48,0)),"")</f>
        <v/>
      </c>
      <c r="E42" s="29" t="inlineStr">
        <is>
          <t>Ingestion</t>
        </is>
      </c>
      <c r="F42" s="29" t="inlineStr">
        <is>
          <t>Execute run LR-MB-01</t>
        </is>
      </c>
      <c r="G42" s="29" t="inlineStr">
        <is>
          <t>Run PASS in Load_Stress_Runs</t>
        </is>
      </c>
      <c r="H42" s="29" t="inlineStr">
        <is>
          <t>Gatling</t>
        </is>
      </c>
      <c r="I42" s="29" t="inlineStr">
        <is>
          <t>P0</t>
        </is>
      </c>
      <c r="J42" s="31" t="inlineStr">
        <is>
          <t>Y</t>
        </is>
      </c>
      <c r="K42" s="31" t="inlineStr">
        <is>
          <t>Not Run</t>
        </is>
      </c>
      <c r="L42" s="34" t="n"/>
      <c r="M42" s="31" t="n"/>
      <c r="N42" s="31" t="n"/>
      <c r="O42" s="31" t="n"/>
    </row>
    <row r="43">
      <c r="A43" s="29" t="inlineStr">
        <is>
          <t>TC-MB-022</t>
        </is>
      </c>
      <c r="B43" s="29" t="inlineStr">
        <is>
          <t>Product</t>
        </is>
      </c>
      <c r="C43" s="29" t="inlineStr">
        <is>
          <t>Stress / Breakpoint</t>
        </is>
      </c>
      <c r="D43" s="29">
        <f>IFERROR(INDEX(Test_Catalog!$C$2:$C$48,MATCH(C43,Test_Catalog!$A$2:$A$48,0)),"")</f>
        <v/>
      </c>
      <c r="E43" s="29" t="inlineStr">
        <is>
          <t>Ingestion</t>
        </is>
      </c>
      <c r="F43" s="29" t="inlineStr">
        <is>
          <t>Execute run LR-MB-02</t>
        </is>
      </c>
      <c r="G43" s="29" t="inlineStr">
        <is>
          <t>Graceful 429s; breaking point recorded</t>
        </is>
      </c>
      <c r="H43" s="29" t="inlineStr">
        <is>
          <t>Gatling</t>
        </is>
      </c>
      <c r="I43" s="29" t="inlineStr">
        <is>
          <t>P0</t>
        </is>
      </c>
      <c r="J43" s="31" t="inlineStr">
        <is>
          <t>Y</t>
        </is>
      </c>
      <c r="K43" s="31" t="inlineStr">
        <is>
          <t>Not Run</t>
        </is>
      </c>
      <c r="L43" s="34" t="n"/>
      <c r="M43" s="31" t="n"/>
      <c r="N43" s="31" t="n"/>
      <c r="O43" s="31" t="n"/>
    </row>
    <row r="44">
      <c r="A44" s="29" t="inlineStr">
        <is>
          <t>TC-MB-023</t>
        </is>
      </c>
      <c r="B44" s="29" t="inlineStr">
        <is>
          <t>Product</t>
        </is>
      </c>
      <c r="C44" s="29" t="inlineStr">
        <is>
          <t>Spike</t>
        </is>
      </c>
      <c r="D44" s="29">
        <f>IFERROR(INDEX(Test_Catalog!$C$2:$C$48,MATCH(C44,Test_Catalog!$A$2:$A$48,0)),"")</f>
        <v/>
      </c>
      <c r="E44" s="29" t="inlineStr">
        <is>
          <t>Invoice API</t>
        </is>
      </c>
      <c r="F44" s="29" t="inlineStr">
        <is>
          <t>Execute run LR-MB-03</t>
        </is>
      </c>
      <c r="G44" s="29" t="inlineStr">
        <is>
          <t>Run PASS</t>
        </is>
      </c>
      <c r="H44" s="29" t="inlineStr">
        <is>
          <t>Gatling</t>
        </is>
      </c>
      <c r="I44" s="29" t="inlineStr">
        <is>
          <t>P1</t>
        </is>
      </c>
      <c r="J44" s="31" t="inlineStr">
        <is>
          <t>Y</t>
        </is>
      </c>
      <c r="K44" s="31" t="inlineStr">
        <is>
          <t>Not Run</t>
        </is>
      </c>
      <c r="L44" s="34" t="n"/>
      <c r="M44" s="31" t="n"/>
      <c r="N44" s="31" t="n"/>
      <c r="O44" s="31" t="n"/>
    </row>
    <row r="45">
      <c r="A45" s="29" t="inlineStr">
        <is>
          <t>TC-MB-024</t>
        </is>
      </c>
      <c r="B45" s="29" t="inlineStr">
        <is>
          <t>Product</t>
        </is>
      </c>
      <c r="C45" s="29" t="inlineStr">
        <is>
          <t>Soak / Endurance</t>
        </is>
      </c>
      <c r="D45" s="29">
        <f>IFERROR(INDEX(Test_Catalog!$C$2:$C$48,MATCH(C45,Test_Catalog!$A$2:$A$48,0)),"")</f>
        <v/>
      </c>
      <c r="E45" s="29" t="inlineStr">
        <is>
          <t>All services</t>
        </is>
      </c>
      <c r="F45" s="29" t="inlineStr">
        <is>
          <t>Execute run LR-MB-04</t>
        </is>
      </c>
      <c r="G45" s="29" t="inlineStr">
        <is>
          <t>Heap flat; p99 stable over 8 h</t>
        </is>
      </c>
      <c r="H45" s="29" t="inlineStr">
        <is>
          <t>Gatling + JFR</t>
        </is>
      </c>
      <c r="I45" s="29" t="inlineStr">
        <is>
          <t>P0</t>
        </is>
      </c>
      <c r="J45" s="31" t="inlineStr">
        <is>
          <t>Y</t>
        </is>
      </c>
      <c r="K45" s="31" t="inlineStr">
        <is>
          <t>Not Run</t>
        </is>
      </c>
      <c r="L45" s="34" t="n"/>
      <c r="M45" s="31" t="n"/>
      <c r="N45" s="31" t="n"/>
      <c r="O45" s="31" t="n"/>
    </row>
    <row r="46">
      <c r="A46" s="29" t="inlineStr">
        <is>
          <t>TC-MB-025</t>
        </is>
      </c>
      <c r="B46" s="29" t="inlineStr">
        <is>
          <t>Product</t>
        </is>
      </c>
      <c r="C46" s="29" t="inlineStr">
        <is>
          <t>Scalability</t>
        </is>
      </c>
      <c r="D46" s="29">
        <f>IFERROR(INDEX(Test_Catalog!$C$2:$C$48,MATCH(C46,Test_Catalog!$A$2:$A$48,0)),"")</f>
        <v/>
      </c>
      <c r="E46" s="29" t="inlineStr">
        <is>
          <t>Ingestion</t>
        </is>
      </c>
      <c r="F46" s="29" t="inlineStr">
        <is>
          <t>Execute run LR-MB-05</t>
        </is>
      </c>
      <c r="G46" s="29" t="inlineStr">
        <is>
          <t>&gt;= 1.7x throughput at 2x nodes</t>
        </is>
      </c>
      <c r="H46" s="29" t="inlineStr">
        <is>
          <t>Gatling</t>
        </is>
      </c>
      <c r="I46" s="29" t="inlineStr">
        <is>
          <t>P1</t>
        </is>
      </c>
      <c r="J46" s="31" t="inlineStr">
        <is>
          <t>Y</t>
        </is>
      </c>
      <c r="K46" s="31" t="inlineStr">
        <is>
          <t>Not Run</t>
        </is>
      </c>
      <c r="L46" s="34" t="n"/>
      <c r="M46" s="31" t="n"/>
      <c r="N46" s="31" t="n"/>
      <c r="O46" s="31" t="n"/>
    </row>
    <row r="47">
      <c r="A47" s="29" t="inlineStr">
        <is>
          <t>TC-MB-026</t>
        </is>
      </c>
      <c r="B47" s="29" t="inlineStr">
        <is>
          <t>Product</t>
        </is>
      </c>
      <c r="C47" s="29" t="inlineStr">
        <is>
          <t>Volume</t>
        </is>
      </c>
      <c r="D47" s="29">
        <f>IFERROR(INDEX(Test_Catalog!$C$2:$C$48,MATCH(C47,Test_Catalog!$A$2:$A$48,0)),"")</f>
        <v/>
      </c>
      <c r="E47" s="29" t="inlineStr">
        <is>
          <t>Invoicing</t>
        </is>
      </c>
      <c r="F47" s="29" t="inlineStr">
        <is>
          <t>Execute run LR-MB-06</t>
        </is>
      </c>
      <c r="G47" s="29" t="inlineStr">
        <is>
          <t>100k invoices in &lt;= 15 min</t>
        </is>
      </c>
      <c r="H47" s="29" t="inlineStr">
        <is>
          <t>Custom generator</t>
        </is>
      </c>
      <c r="I47" s="29" t="inlineStr">
        <is>
          <t>P1</t>
        </is>
      </c>
      <c r="J47" s="31" t="inlineStr">
        <is>
          <t>Y</t>
        </is>
      </c>
      <c r="K47" s="31" t="inlineStr">
        <is>
          <t>Not Run</t>
        </is>
      </c>
      <c r="L47" s="34" t="n"/>
      <c r="M47" s="31" t="n"/>
      <c r="N47" s="31" t="n"/>
      <c r="O47" s="31" t="n"/>
    </row>
  </sheetData>
  <autoFilter ref="A1:O600"/>
  <conditionalFormatting sqref="K2:K600">
    <cfRule type="expression" priority="1" dxfId="0">
      <formula>$K2="Pass"</formula>
    </cfRule>
    <cfRule type="expression" priority="2" dxfId="2">
      <formula>$K2="Fail"</formula>
    </cfRule>
    <cfRule type="expression" priority="3" dxfId="1">
      <formula>$K2="Blocked"</formula>
    </cfRule>
  </conditionalFormatting>
  <dataValidations count="4">
    <dataValidation sqref="K2:K600" showDropDown="0" showInputMessage="0" showErrorMessage="0" allowBlank="1" type="list">
      <formula1>"Not Run,Pass,Fail,Blocked"</formula1>
    </dataValidation>
    <dataValidation sqref="J2:J600" showDropDown="0" showInputMessage="0" showErrorMessage="0" allowBlank="1" type="list">
      <formula1>"Y,N"</formula1>
    </dataValidation>
    <dataValidation sqref="B2:B600" showDropDown="0" showInputMessage="0" showErrorMessage="0" allowBlank="1" type="list">
      <formula1>"Platform,Product,EXAMPLE"</formula1>
    </dataValidation>
    <dataValidation sqref="C2:C600" showDropDown="0" showInputMessage="0" showErrorMessage="0" allowBlank="1" type="list">
      <formula1>=Test_Catalog!$A$2:$A$48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N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42" customWidth="1" min="4" max="4"/>
    <col width="10" customWidth="1" min="5" max="5"/>
    <col width="12" customWidth="1" min="6" max="6"/>
    <col width="13" customWidth="1" min="7" max="7"/>
    <col width="13" customWidth="1" min="8" max="8"/>
    <col width="10" customWidth="1" min="9" max="9"/>
    <col width="20" customWidth="1" min="10" max="10"/>
    <col width="12" customWidth="1" min="11" max="11"/>
    <col width="12" customWidth="1" min="12" max="12"/>
    <col width="30" customWidth="1" min="13" max="13"/>
    <col width="25" customWidth="1" min="14" max="14"/>
  </cols>
  <sheetData>
    <row r="1" ht="32" customHeight="1">
      <c r="A1" s="11" t="inlineStr">
        <is>
          <t>Metric ID</t>
        </is>
      </c>
      <c r="B1" s="11" t="inlineStr">
        <is>
          <t>Track</t>
        </is>
      </c>
      <c r="C1" s="11" t="inlineStr">
        <is>
          <t>Category</t>
        </is>
      </c>
      <c r="D1" s="11" t="inlineStr">
        <is>
          <t>Metric</t>
        </is>
      </c>
      <c r="E1" s="11" t="inlineStr">
        <is>
          <t>Comparator</t>
        </is>
      </c>
      <c r="F1" s="11" t="inlineStr">
        <is>
          <t>Target</t>
        </is>
      </c>
      <c r="G1" s="11" t="inlineStr">
        <is>
          <t>Unit</t>
        </is>
      </c>
      <c r="H1" s="11" t="inlineStr">
        <is>
          <t>Measured (input)</t>
        </is>
      </c>
      <c r="I1" s="11" t="inlineStr">
        <is>
          <t>Result</t>
        </is>
      </c>
      <c r="J1" s="11" t="inlineStr">
        <is>
          <t>Measured By</t>
        </is>
      </c>
      <c r="K1" s="11" t="inlineStr">
        <is>
          <t>Run Ref</t>
        </is>
      </c>
      <c r="L1" s="11" t="inlineStr">
        <is>
          <t>Date</t>
        </is>
      </c>
      <c r="M1" s="11" t="inlineStr">
        <is>
          <t>Evidence Link</t>
        </is>
      </c>
      <c r="N1" s="11" t="inlineStr">
        <is>
          <t>Notes</t>
        </is>
      </c>
    </row>
    <row r="2">
      <c r="A2" s="26" t="inlineStr">
        <is>
          <t>EX-M-001</t>
        </is>
      </c>
      <c r="B2" s="26" t="inlineStr">
        <is>
          <t>EXAMPLE</t>
        </is>
      </c>
      <c r="C2" s="26" t="inlineStr">
        <is>
          <t>Latency</t>
        </is>
      </c>
      <c r="D2" s="26" t="inlineStr">
        <is>
          <t>Example: write API p99</t>
        </is>
      </c>
      <c r="E2" s="26" t="inlineStr">
        <is>
          <t>&lt;=</t>
        </is>
      </c>
      <c r="F2" s="35" t="n">
        <v>50</v>
      </c>
      <c r="G2" s="26" t="inlineStr">
        <is>
          <t>ms</t>
        </is>
      </c>
      <c r="H2" s="35" t="n">
        <v>38</v>
      </c>
      <c r="I2" s="26">
        <f>IF(H2="","PENDING",IF(E2="&lt;=",IF(H2&lt;=F2,"PASS","FAIL"),IF(H2&gt;=F2,"PASS","FAIL")))</f>
        <v/>
      </c>
      <c r="J2" s="26" t="inlineStr">
        <is>
          <t>Gatling</t>
        </is>
      </c>
      <c r="K2" s="26" t="inlineStr">
        <is>
          <t>EX-LR-001</t>
        </is>
      </c>
      <c r="L2" s="27" t="n">
        <v>46338</v>
      </c>
      <c r="M2" s="26" t="inlineStr">
        <is>
          <t>https://grafana.example/d/abc</t>
        </is>
      </c>
      <c r="N2" s="26" t="n"/>
    </row>
    <row r="3">
      <c r="A3" s="29" t="inlineStr">
        <is>
          <t>M-PLT-01</t>
        </is>
      </c>
      <c r="B3" s="29" t="inlineStr">
        <is>
          <t>Platform</t>
        </is>
      </c>
      <c r="C3" s="29" t="inlineStr">
        <is>
          <t>Availability</t>
        </is>
      </c>
      <c r="D3" s="29" t="inlineStr">
        <is>
          <t>Control-plane availability (30-day)</t>
        </is>
      </c>
      <c r="E3" s="29" t="inlineStr">
        <is>
          <t>&gt;=</t>
        </is>
      </c>
      <c r="F3" s="36" t="n">
        <v>0.999</v>
      </c>
      <c r="G3" s="29" t="inlineStr">
        <is>
          <t>%</t>
        </is>
      </c>
      <c r="H3" s="37" t="n"/>
      <c r="I3" s="29">
        <f>IF(H3="","PENDING",IF(E3="&lt;=",IF(H3&lt;=F3,"PASS","FAIL"),IF(H3&gt;=F3,"PASS","FAIL")))</f>
        <v/>
      </c>
      <c r="J3" s="29" t="inlineStr">
        <is>
          <t>Prometheus SLO</t>
        </is>
      </c>
      <c r="K3" s="31" t="n"/>
      <c r="L3" s="34" t="n"/>
      <c r="M3" s="31" t="n"/>
      <c r="N3" s="31" t="n"/>
    </row>
    <row r="4">
      <c r="A4" s="29" t="inlineStr">
        <is>
          <t>M-PLT-02</t>
        </is>
      </c>
      <c r="B4" s="29" t="inlineStr">
        <is>
          <t>Platform</t>
        </is>
      </c>
      <c r="C4" s="29" t="inlineStr">
        <is>
          <t>Latency</t>
        </is>
      </c>
      <c r="D4" s="29" t="inlineStr">
        <is>
          <t>Login / token issue p99</t>
        </is>
      </c>
      <c r="E4" s="29" t="inlineStr">
        <is>
          <t>&lt;=</t>
        </is>
      </c>
      <c r="F4" s="38" t="n">
        <v>300</v>
      </c>
      <c r="G4" s="29" t="inlineStr">
        <is>
          <t>ms</t>
        </is>
      </c>
      <c r="H4" s="39" t="n"/>
      <c r="I4" s="29">
        <f>IF(H4="","PENDING",IF(E4="&lt;=",IF(H4&lt;=F4,"PASS","FAIL"),IF(H4&gt;=F4,"PASS","FAIL")))</f>
        <v/>
      </c>
      <c r="J4" s="29" t="inlineStr">
        <is>
          <t>k6</t>
        </is>
      </c>
      <c r="K4" s="31" t="n"/>
      <c r="L4" s="34" t="n"/>
      <c r="M4" s="31" t="n"/>
      <c r="N4" s="31" t="n"/>
    </row>
    <row r="5">
      <c r="A5" s="29" t="inlineStr">
        <is>
          <t>M-PLT-03</t>
        </is>
      </c>
      <c r="B5" s="29" t="inlineStr">
        <is>
          <t>Platform</t>
        </is>
      </c>
      <c r="C5" s="29" t="inlineStr">
        <is>
          <t>Delivery (DORA)</t>
        </is>
      </c>
      <c r="D5" s="29" t="inlineStr">
        <is>
          <t>CI pipeline duration</t>
        </is>
      </c>
      <c r="E5" s="29" t="inlineStr">
        <is>
          <t>&lt;=</t>
        </is>
      </c>
      <c r="F5" s="38" t="n">
        <v>10</v>
      </c>
      <c r="G5" s="29" t="inlineStr">
        <is>
          <t>min</t>
        </is>
      </c>
      <c r="H5" s="39" t="n">
        <v>3.3</v>
      </c>
      <c r="I5" s="29">
        <f>IF(H5="","PENDING",IF(E5="&lt;=",IF(H5&lt;=F5,"PASS","FAIL"),IF(H5&gt;=F5,"PASS","FAIL")))</f>
        <v/>
      </c>
      <c r="J5" s="29" t="inlineStr">
        <is>
          <t>GitHub Actions</t>
        </is>
      </c>
      <c r="K5" s="31" t="inlineStr">
        <is>
          <t>39905115436</t>
        </is>
      </c>
      <c r="L5" s="34" t="n">
        <v>46318</v>
      </c>
      <c r="M5" s="31" t="inlineStr">
        <is>
          <t>https://github.com/mhrj7/meterbook/actions/runs/39905115436</t>
        </is>
      </c>
      <c r="N5" s="31" t="inlineStr">
        <is>
          <t>Wall clock from run created to last job completed, PR #3.</t>
        </is>
      </c>
    </row>
    <row r="6">
      <c r="A6" s="29" t="inlineStr">
        <is>
          <t>M-PLT-04</t>
        </is>
      </c>
      <c r="B6" s="29" t="inlineStr">
        <is>
          <t>Platform</t>
        </is>
      </c>
      <c r="C6" s="29" t="inlineStr">
        <is>
          <t>Delivery (DORA)</t>
        </is>
      </c>
      <c r="D6" s="29" t="inlineStr">
        <is>
          <t>Deployment frequency</t>
        </is>
      </c>
      <c r="E6" s="29" t="inlineStr">
        <is>
          <t>&gt;=</t>
        </is>
      </c>
      <c r="F6" s="38" t="n">
        <v>5</v>
      </c>
      <c r="G6" s="29" t="inlineStr">
        <is>
          <t>deploys/week</t>
        </is>
      </c>
      <c r="H6" s="39" t="n"/>
      <c r="I6" s="29">
        <f>IF(H6="","PENDING",IF(E6="&lt;=",IF(H6&lt;=F6,"PASS","FAIL"),IF(H6&gt;=F6,"PASS","FAIL")))</f>
        <v/>
      </c>
      <c r="J6" s="29" t="inlineStr">
        <is>
          <t>ArgoCD history</t>
        </is>
      </c>
      <c r="K6" s="31" t="n"/>
      <c r="L6" s="34" t="n"/>
      <c r="M6" s="31" t="n"/>
      <c r="N6" s="31" t="n"/>
    </row>
    <row r="7">
      <c r="A7" s="29" t="inlineStr">
        <is>
          <t>M-PLT-05</t>
        </is>
      </c>
      <c r="B7" s="29" t="inlineStr">
        <is>
          <t>Platform</t>
        </is>
      </c>
      <c r="C7" s="29" t="inlineStr">
        <is>
          <t>Delivery (DORA)</t>
        </is>
      </c>
      <c r="D7" s="29" t="inlineStr">
        <is>
          <t>Change failure rate</t>
        </is>
      </c>
      <c r="E7" s="29" t="inlineStr">
        <is>
          <t>&lt;=</t>
        </is>
      </c>
      <c r="F7" s="36" t="n">
        <v>0.15</v>
      </c>
      <c r="G7" s="29" t="inlineStr">
        <is>
          <t>%</t>
        </is>
      </c>
      <c r="H7" s="37" t="n"/>
      <c r="I7" s="29">
        <f>IF(H7="","PENDING",IF(E7="&lt;=",IF(H7&lt;=F7,"PASS","FAIL"),IF(H7&gt;=F7,"PASS","FAIL")))</f>
        <v/>
      </c>
      <c r="J7" s="29" t="inlineStr">
        <is>
          <t>Incident log</t>
        </is>
      </c>
      <c r="K7" s="31" t="n"/>
      <c r="L7" s="34" t="n"/>
      <c r="M7" s="31" t="n"/>
      <c r="N7" s="31" t="n"/>
    </row>
    <row r="8">
      <c r="A8" s="29" t="inlineStr">
        <is>
          <t>M-PLT-06</t>
        </is>
      </c>
      <c r="B8" s="29" t="inlineStr">
        <is>
          <t>Platform</t>
        </is>
      </c>
      <c r="C8" s="29" t="inlineStr">
        <is>
          <t>Delivery (DORA)</t>
        </is>
      </c>
      <c r="D8" s="29" t="inlineStr">
        <is>
          <t>Mean time to restore (MTTR)</t>
        </is>
      </c>
      <c r="E8" s="29" t="inlineStr">
        <is>
          <t>&lt;=</t>
        </is>
      </c>
      <c r="F8" s="38" t="n">
        <v>30</v>
      </c>
      <c r="G8" s="29" t="inlineStr">
        <is>
          <t>min</t>
        </is>
      </c>
      <c r="H8" s="39" t="n"/>
      <c r="I8" s="29">
        <f>IF(H8="","PENDING",IF(E8="&lt;=",IF(H8&lt;=F8,"PASS","FAIL"),IF(H8&gt;=F8,"PASS","FAIL")))</f>
        <v/>
      </c>
      <c r="J8" s="29" t="inlineStr">
        <is>
          <t>Incident log</t>
        </is>
      </c>
      <c r="K8" s="31" t="n"/>
      <c r="L8" s="34" t="n"/>
      <c r="M8" s="31" t="n"/>
      <c r="N8" s="31" t="n"/>
    </row>
    <row r="9">
      <c r="A9" s="29" t="inlineStr">
        <is>
          <t>M-PLT-07</t>
        </is>
      </c>
      <c r="B9" s="29" t="inlineStr">
        <is>
          <t>Platform</t>
        </is>
      </c>
      <c r="C9" s="29" t="inlineStr">
        <is>
          <t>Security</t>
        </is>
      </c>
      <c r="D9" s="29" t="inlineStr">
        <is>
          <t>Critical CVEs in deployed images</t>
        </is>
      </c>
      <c r="E9" s="29" t="inlineStr">
        <is>
          <t>&lt;=</t>
        </is>
      </c>
      <c r="F9" s="38" t="n">
        <v>0</v>
      </c>
      <c r="G9" s="29" t="inlineStr">
        <is>
          <t>count</t>
        </is>
      </c>
      <c r="H9" s="39" t="n"/>
      <c r="I9" s="29">
        <f>IF(H9="","PENDING",IF(E9="&lt;=",IF(H9&lt;=F9,"PASS","FAIL"),IF(H9&gt;=F9,"PASS","FAIL")))</f>
        <v/>
      </c>
      <c r="J9" s="29" t="inlineStr">
        <is>
          <t>Trivy</t>
        </is>
      </c>
      <c r="K9" s="31" t="n"/>
      <c r="L9" s="34" t="n"/>
      <c r="M9" s="31" t="n"/>
      <c r="N9" s="31" t="n"/>
    </row>
    <row r="10">
      <c r="A10" s="29" t="inlineStr">
        <is>
          <t>M-PLT-08</t>
        </is>
      </c>
      <c r="B10" s="29" t="inlineStr">
        <is>
          <t>Platform</t>
        </is>
      </c>
      <c r="C10" s="29" t="inlineStr">
        <is>
          <t>Recovery</t>
        </is>
      </c>
      <c r="D10" s="29" t="inlineStr">
        <is>
          <t>RPO (data loss window)</t>
        </is>
      </c>
      <c r="E10" s="29" t="inlineStr">
        <is>
          <t>&lt;=</t>
        </is>
      </c>
      <c r="F10" s="38" t="n">
        <v>5</v>
      </c>
      <c r="G10" s="29" t="inlineStr">
        <is>
          <t>min</t>
        </is>
      </c>
      <c r="H10" s="39" t="n"/>
      <c r="I10" s="29">
        <f>IF(H10="","PENDING",IF(E10="&lt;=",IF(H10&lt;=F10,"PASS","FAIL"),IF(H10&gt;=F10,"PASS","FAIL")))</f>
        <v/>
      </c>
      <c r="J10" s="29" t="inlineStr">
        <is>
          <t>Restore drill</t>
        </is>
      </c>
      <c r="K10" s="31" t="n"/>
      <c r="L10" s="34" t="n"/>
      <c r="M10" s="31" t="n"/>
      <c r="N10" s="31" t="n"/>
    </row>
    <row r="11">
      <c r="A11" s="29" t="inlineStr">
        <is>
          <t>M-PLT-09</t>
        </is>
      </c>
      <c r="B11" s="29" t="inlineStr">
        <is>
          <t>Platform</t>
        </is>
      </c>
      <c r="C11" s="29" t="inlineStr">
        <is>
          <t>Recovery</t>
        </is>
      </c>
      <c r="D11" s="29" t="inlineStr">
        <is>
          <t>RTO (time to restore)</t>
        </is>
      </c>
      <c r="E11" s="29" t="inlineStr">
        <is>
          <t>&lt;=</t>
        </is>
      </c>
      <c r="F11" s="38" t="n">
        <v>30</v>
      </c>
      <c r="G11" s="29" t="inlineStr">
        <is>
          <t>min</t>
        </is>
      </c>
      <c r="H11" s="39" t="n"/>
      <c r="I11" s="29">
        <f>IF(H11="","PENDING",IF(E11="&lt;=",IF(H11&lt;=F11,"PASS","FAIL"),IF(H11&gt;=F11,"PASS","FAIL")))</f>
        <v/>
      </c>
      <c r="J11" s="29" t="inlineStr">
        <is>
          <t>Restore drill</t>
        </is>
      </c>
      <c r="K11" s="31" t="n"/>
      <c r="L11" s="34" t="n"/>
      <c r="M11" s="31" t="n"/>
      <c r="N11" s="31" t="n"/>
    </row>
    <row r="12">
      <c r="A12" s="29" t="inlineStr">
        <is>
          <t>M-MB-01</t>
        </is>
      </c>
      <c r="B12" s="29" t="inlineStr">
        <is>
          <t>Product</t>
        </is>
      </c>
      <c r="C12" s="29" t="inlineStr">
        <is>
          <t>Throughput</t>
        </is>
      </c>
      <c r="D12" s="29" t="inlineStr">
        <is>
          <t>Usage-event ingestion</t>
        </is>
      </c>
      <c r="E12" s="29" t="inlineStr">
        <is>
          <t>&gt;=</t>
        </is>
      </c>
      <c r="F12" s="38" t="n">
        <v>10000</v>
      </c>
      <c r="G12" s="29" t="inlineStr">
        <is>
          <t>events/s</t>
        </is>
      </c>
      <c r="H12" s="39" t="n"/>
      <c r="I12" s="29">
        <f>IF(H12="","PENDING",IF(E12="&lt;=",IF(H12&lt;=F12,"PASS","FAIL"),IF(H12&gt;=F12,"PASS","FAIL")))</f>
        <v/>
      </c>
      <c r="J12" s="29" t="inlineStr">
        <is>
          <t>Gatling</t>
        </is>
      </c>
      <c r="K12" s="31" t="n"/>
      <c r="L12" s="34" t="n"/>
      <c r="M12" s="31" t="n"/>
      <c r="N12" s="31" t="n"/>
    </row>
    <row r="13">
      <c r="A13" s="29" t="inlineStr">
        <is>
          <t>M-MB-02</t>
        </is>
      </c>
      <c r="B13" s="29" t="inlineStr">
        <is>
          <t>Product</t>
        </is>
      </c>
      <c r="C13" s="29" t="inlineStr">
        <is>
          <t>Latency</t>
        </is>
      </c>
      <c r="D13" s="29" t="inlineStr">
        <is>
          <t>Write API p95</t>
        </is>
      </c>
      <c r="E13" s="29" t="inlineStr">
        <is>
          <t>&lt;=</t>
        </is>
      </c>
      <c r="F13" s="38" t="n">
        <v>25</v>
      </c>
      <c r="G13" s="29" t="inlineStr">
        <is>
          <t>ms</t>
        </is>
      </c>
      <c r="H13" s="39" t="n"/>
      <c r="I13" s="29">
        <f>IF(H13="","PENDING",IF(E13="&lt;=",IF(H13&lt;=F13,"PASS","FAIL"),IF(H13&gt;=F13,"PASS","FAIL")))</f>
        <v/>
      </c>
      <c r="J13" s="29" t="inlineStr">
        <is>
          <t>Gatling</t>
        </is>
      </c>
      <c r="K13" s="31" t="n"/>
      <c r="L13" s="34" t="n"/>
      <c r="M13" s="31" t="n"/>
      <c r="N13" s="31" t="n"/>
    </row>
    <row r="14">
      <c r="A14" s="29" t="inlineStr">
        <is>
          <t>M-MB-03</t>
        </is>
      </c>
      <c r="B14" s="29" t="inlineStr">
        <is>
          <t>Product</t>
        </is>
      </c>
      <c r="C14" s="29" t="inlineStr">
        <is>
          <t>Latency</t>
        </is>
      </c>
      <c r="D14" s="29" t="inlineStr">
        <is>
          <t>Write API p99</t>
        </is>
      </c>
      <c r="E14" s="29" t="inlineStr">
        <is>
          <t>&lt;=</t>
        </is>
      </c>
      <c r="F14" s="38" t="n">
        <v>50</v>
      </c>
      <c r="G14" s="29" t="inlineStr">
        <is>
          <t>ms</t>
        </is>
      </c>
      <c r="H14" s="39" t="n"/>
      <c r="I14" s="29">
        <f>IF(H14="","PENDING",IF(E14="&lt;=",IF(H14&lt;=F14,"PASS","FAIL"),IF(H14&gt;=F14,"PASS","FAIL")))</f>
        <v/>
      </c>
      <c r="J14" s="29" t="inlineStr">
        <is>
          <t>Gatling</t>
        </is>
      </c>
      <c r="K14" s="31" t="n"/>
      <c r="L14" s="34" t="n"/>
      <c r="M14" s="31" t="n"/>
      <c r="N14" s="31" t="n"/>
    </row>
    <row r="15">
      <c r="A15" s="29" t="inlineStr">
        <is>
          <t>M-MB-04</t>
        </is>
      </c>
      <c r="B15" s="29" t="inlineStr">
        <is>
          <t>Product</t>
        </is>
      </c>
      <c r="C15" s="29" t="inlineStr">
        <is>
          <t>Errors</t>
        </is>
      </c>
      <c r="D15" s="29" t="inlineStr">
        <is>
          <t>Error rate at peak load</t>
        </is>
      </c>
      <c r="E15" s="29" t="inlineStr">
        <is>
          <t>&lt;=</t>
        </is>
      </c>
      <c r="F15" s="36" t="n">
        <v>0.001</v>
      </c>
      <c r="G15" s="29" t="inlineStr">
        <is>
          <t>%</t>
        </is>
      </c>
      <c r="H15" s="37" t="n"/>
      <c r="I15" s="29">
        <f>IF(H15="","PENDING",IF(E15="&lt;=",IF(H15&lt;=F15,"PASS","FAIL"),IF(H15&gt;=F15,"PASS","FAIL")))</f>
        <v/>
      </c>
      <c r="J15" s="29" t="inlineStr">
        <is>
          <t>Gatling</t>
        </is>
      </c>
      <c r="K15" s="31" t="n"/>
      <c r="L15" s="34" t="n"/>
      <c r="M15" s="31" t="n"/>
      <c r="N15" s="31" t="n"/>
    </row>
    <row r="16">
      <c r="A16" s="29" t="inlineStr">
        <is>
          <t>M-MB-05</t>
        </is>
      </c>
      <c r="B16" s="29" t="inlineStr">
        <is>
          <t>Product</t>
        </is>
      </c>
      <c r="C16" s="29" t="inlineStr">
        <is>
          <t>Correctness</t>
        </is>
      </c>
      <c r="D16" s="29" t="inlineStr">
        <is>
          <t>Ledger drift after chaos (sum debits - credits)</t>
        </is>
      </c>
      <c r="E16" s="29" t="inlineStr">
        <is>
          <t>&lt;=</t>
        </is>
      </c>
      <c r="F16" s="38" t="n">
        <v>0</v>
      </c>
      <c r="G16" s="29" t="inlineStr">
        <is>
          <t>minor units</t>
        </is>
      </c>
      <c r="H16" s="39" t="n"/>
      <c r="I16" s="29">
        <f>IF(H16="","PENDING",IF(E16="&lt;=",IF(H16&lt;=F16,"PASS","FAIL"),IF(H16&gt;=F16,"PASS","FAIL")))</f>
        <v/>
      </c>
      <c r="J16" s="29" t="inlineStr">
        <is>
          <t>Invariant checker</t>
        </is>
      </c>
      <c r="K16" s="31" t="n"/>
      <c r="L16" s="34" t="n"/>
      <c r="M16" s="31" t="n"/>
      <c r="N16" s="31" t="n"/>
    </row>
    <row r="17">
      <c r="A17" s="29" t="inlineStr">
        <is>
          <t>M-MB-06</t>
        </is>
      </c>
      <c r="B17" s="29" t="inlineStr">
        <is>
          <t>Product</t>
        </is>
      </c>
      <c r="C17" s="29" t="inlineStr">
        <is>
          <t>Correctness</t>
        </is>
      </c>
      <c r="D17" s="29" t="inlineStr">
        <is>
          <t>Duplicate charges under retries</t>
        </is>
      </c>
      <c r="E17" s="29" t="inlineStr">
        <is>
          <t>&lt;=</t>
        </is>
      </c>
      <c r="F17" s="38" t="n">
        <v>0</v>
      </c>
      <c r="G17" s="29" t="inlineStr">
        <is>
          <t>count</t>
        </is>
      </c>
      <c r="H17" s="39" t="n"/>
      <c r="I17" s="29">
        <f>IF(H17="","PENDING",IF(E17="&lt;=",IF(H17&lt;=F17,"PASS","FAIL"),IF(H17&gt;=F17,"PASS","FAIL")))</f>
        <v/>
      </c>
      <c r="J17" s="29" t="inlineStr">
        <is>
          <t>Idempotency suite</t>
        </is>
      </c>
      <c r="K17" s="31" t="n"/>
      <c r="L17" s="34" t="n"/>
      <c r="M17" s="31" t="n"/>
      <c r="N17" s="31" t="n"/>
    </row>
    <row r="18">
      <c r="A18" s="29" t="inlineStr">
        <is>
          <t>M-MB-07</t>
        </is>
      </c>
      <c r="B18" s="29" t="inlineStr">
        <is>
          <t>Product</t>
        </is>
      </c>
      <c r="C18" s="29" t="inlineStr">
        <is>
          <t>Reliability</t>
        </is>
      </c>
      <c r="D18" s="29" t="inlineStr">
        <is>
          <t>Webhook delivery success</t>
        </is>
      </c>
      <c r="E18" s="29" t="inlineStr">
        <is>
          <t>&gt;=</t>
        </is>
      </c>
      <c r="F18" s="36" t="n">
        <v>0.999</v>
      </c>
      <c r="G18" s="29" t="inlineStr">
        <is>
          <t>%</t>
        </is>
      </c>
      <c r="H18" s="37" t="n"/>
      <c r="I18" s="29">
        <f>IF(H18="","PENDING",IF(E18="&lt;=",IF(H18&lt;=F18,"PASS","FAIL"),IF(H18&gt;=F18,"PASS","FAIL")))</f>
        <v/>
      </c>
      <c r="J18" s="29" t="inlineStr">
        <is>
          <t>Delivery log</t>
        </is>
      </c>
      <c r="K18" s="31" t="n"/>
      <c r="L18" s="34" t="n"/>
      <c r="M18" s="31" t="n"/>
      <c r="N18" s="31" t="n"/>
    </row>
    <row r="19">
      <c r="A19" s="29" t="inlineStr">
        <is>
          <t>M-MB-08</t>
        </is>
      </c>
      <c r="B19" s="29" t="inlineStr">
        <is>
          <t>Product</t>
        </is>
      </c>
      <c r="C19" s="29" t="inlineStr">
        <is>
          <t>Latency</t>
        </is>
      </c>
      <c r="D19" s="29" t="inlineStr">
        <is>
          <t>Outbox -&gt; Kafka lag p99</t>
        </is>
      </c>
      <c r="E19" s="29" t="inlineStr">
        <is>
          <t>&lt;=</t>
        </is>
      </c>
      <c r="F19" s="38" t="n">
        <v>2</v>
      </c>
      <c r="G19" s="29" t="inlineStr">
        <is>
          <t>s</t>
        </is>
      </c>
      <c r="H19" s="39" t="n"/>
      <c r="I19" s="29">
        <f>IF(H19="","PENDING",IF(E19="&lt;=",IF(H19&lt;=F19,"PASS","FAIL"),IF(H19&gt;=F19,"PASS","FAIL")))</f>
        <v/>
      </c>
      <c r="J19" s="29" t="inlineStr">
        <is>
          <t>Prometheus</t>
        </is>
      </c>
      <c r="K19" s="31" t="n"/>
      <c r="L19" s="34" t="n"/>
      <c r="M19" s="31" t="n"/>
      <c r="N19" s="31" t="n"/>
    </row>
    <row r="20">
      <c r="A20" s="29" t="inlineStr">
        <is>
          <t>M-MB-09</t>
        </is>
      </c>
      <c r="B20" s="29" t="inlineStr">
        <is>
          <t>Product</t>
        </is>
      </c>
      <c r="C20" s="29" t="inlineStr">
        <is>
          <t>Batch</t>
        </is>
      </c>
      <c r="D20" s="29" t="inlineStr">
        <is>
          <t>Invoice run for 100k customers</t>
        </is>
      </c>
      <c r="E20" s="29" t="inlineStr">
        <is>
          <t>&lt;=</t>
        </is>
      </c>
      <c r="F20" s="38" t="n">
        <v>15</v>
      </c>
      <c r="G20" s="29" t="inlineStr">
        <is>
          <t>min</t>
        </is>
      </c>
      <c r="H20" s="39" t="n"/>
      <c r="I20" s="29">
        <f>IF(H20="","PENDING",IF(E20="&lt;=",IF(H20&lt;=F20,"PASS","FAIL"),IF(H20&gt;=F20,"PASS","FAIL")))</f>
        <v/>
      </c>
      <c r="J20" s="29" t="inlineStr">
        <is>
          <t>Temporal metrics</t>
        </is>
      </c>
      <c r="K20" s="31" t="n"/>
      <c r="L20" s="34" t="n"/>
      <c r="M20" s="31" t="n"/>
      <c r="N20" s="31" t="n"/>
    </row>
    <row r="21">
      <c r="A21" s="29" t="inlineStr">
        <is>
          <t>M-MB-10</t>
        </is>
      </c>
      <c r="B21" s="29" t="inlineStr">
        <is>
          <t>Product</t>
        </is>
      </c>
      <c r="C21" s="29" t="inlineStr">
        <is>
          <t>Quality</t>
        </is>
      </c>
      <c r="D21" s="29" t="inlineStr">
        <is>
          <t>Branch coverage</t>
        </is>
      </c>
      <c r="E21" s="29" t="inlineStr">
        <is>
          <t>&gt;=</t>
        </is>
      </c>
      <c r="F21" s="36" t="n">
        <v>0.9</v>
      </c>
      <c r="G21" s="29" t="inlineStr">
        <is>
          <t>%</t>
        </is>
      </c>
      <c r="H21" s="37" t="n"/>
      <c r="I21" s="29">
        <f>IF(H21="","PENDING",IF(E21="&lt;=",IF(H21&lt;=F21,"PASS","FAIL"),IF(H21&gt;=F21,"PASS","FAIL")))</f>
        <v/>
      </c>
      <c r="J21" s="29" t="inlineStr">
        <is>
          <t>JaCoCo</t>
        </is>
      </c>
      <c r="K21" s="31" t="n"/>
      <c r="L21" s="34" t="n"/>
      <c r="M21" s="31" t="n"/>
      <c r="N21" s="31" t="n"/>
    </row>
    <row r="22">
      <c r="A22" s="29" t="inlineStr">
        <is>
          <t>M-MB-11</t>
        </is>
      </c>
      <c r="B22" s="29" t="inlineStr">
        <is>
          <t>Product</t>
        </is>
      </c>
      <c r="C22" s="29" t="inlineStr">
        <is>
          <t>Quality</t>
        </is>
      </c>
      <c r="D22" s="29" t="inlineStr">
        <is>
          <t>Mutation score</t>
        </is>
      </c>
      <c r="E22" s="29" t="inlineStr">
        <is>
          <t>&gt;=</t>
        </is>
      </c>
      <c r="F22" s="36" t="n">
        <v>0.75</v>
      </c>
      <c r="G22" s="29" t="inlineStr">
        <is>
          <t>%</t>
        </is>
      </c>
      <c r="H22" s="37" t="n"/>
      <c r="I22" s="29">
        <f>IF(H22="","PENDING",IF(E22="&lt;=",IF(H22&lt;=F22,"PASS","FAIL"),IF(H22&gt;=F22,"PASS","FAIL")))</f>
        <v/>
      </c>
      <c r="J22" s="29" t="inlineStr">
        <is>
          <t>PIT</t>
        </is>
      </c>
      <c r="K22" s="31" t="n"/>
      <c r="L22" s="34" t="n"/>
      <c r="M22" s="31" t="n"/>
      <c r="N22" s="31" t="n"/>
    </row>
    <row r="23">
      <c r="A23" s="29" t="inlineStr">
        <is>
          <t>M-MB-12</t>
        </is>
      </c>
      <c r="B23" s="29" t="inlineStr">
        <is>
          <t>Product</t>
        </is>
      </c>
      <c r="C23" s="29" t="inlineStr">
        <is>
          <t>Availability</t>
        </is>
      </c>
      <c r="D23" s="29" t="inlineStr">
        <is>
          <t>API availability (30-day)</t>
        </is>
      </c>
      <c r="E23" s="29" t="inlineStr">
        <is>
          <t>&gt;=</t>
        </is>
      </c>
      <c r="F23" s="36" t="n">
        <v>0.9995000000000001</v>
      </c>
      <c r="G23" s="29" t="inlineStr">
        <is>
          <t>%</t>
        </is>
      </c>
      <c r="H23" s="37" t="n"/>
      <c r="I23" s="29">
        <f>IF(H23="","PENDING",IF(E23="&lt;=",IF(H23&lt;=F23,"PASS","FAIL"),IF(H23&gt;=F23,"PASS","FAIL")))</f>
        <v/>
      </c>
      <c r="J23" s="29" t="inlineStr">
        <is>
          <t>Prometheus SLO</t>
        </is>
      </c>
      <c r="K23" s="31" t="n"/>
      <c r="L23" s="34" t="n"/>
      <c r="M23" s="31" t="n"/>
      <c r="N23" s="31" t="n"/>
    </row>
  </sheetData>
  <autoFilter ref="A1:N600"/>
  <conditionalFormatting sqref="I2:I600">
    <cfRule type="expression" priority="1" dxfId="0">
      <formula>$I2="PASS"</formula>
    </cfRule>
    <cfRule type="expression" priority="2" dxfId="2">
      <formula>$I2="FAIL"</formula>
    </cfRule>
    <cfRule type="expression" priority="3" dxfId="4">
      <formula>$I2="NOT RUN"</formula>
    </cfRule>
    <cfRule type="expression" priority="4" dxfId="4">
      <formula>$I2="PENDING"</formula>
    </cfRule>
  </conditionalFormatting>
  <dataValidations count="1">
    <dataValidation sqref="E2:E600" showDropDown="0" showInputMessage="0" showErrorMessage="0" allowBlank="1" type="list">
      <formula1>"&lt;=,&gt;="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W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40" customWidth="1" min="4" max="4"/>
    <col width="14" customWidth="1" min="5" max="5"/>
    <col width="26" customWidth="1" min="6" max="6"/>
    <col width="9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8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12" customWidth="1" min="21" max="21"/>
    <col width="32" customWidth="1" min="22" max="22"/>
    <col width="28" customWidth="1" min="23" max="23"/>
  </cols>
  <sheetData>
    <row r="1" ht="32" customHeight="1">
      <c r="A1" s="11" t="inlineStr">
        <is>
          <t>Run ID</t>
        </is>
      </c>
      <c r="B1" s="11" t="inlineStr">
        <is>
          <t>Track</t>
        </is>
      </c>
      <c r="C1" s="11" t="inlineStr">
        <is>
          <t>Test Type</t>
        </is>
      </c>
      <c r="D1" s="11" t="inlineStr">
        <is>
          <t>Scenario</t>
        </is>
      </c>
      <c r="E1" s="11" t="inlineStr">
        <is>
          <t>Tool</t>
        </is>
      </c>
      <c r="F1" s="11" t="inlineStr">
        <is>
          <t>Environment</t>
        </is>
      </c>
      <c r="G1" s="11" t="inlineStr">
        <is>
          <t>Duration (min)</t>
        </is>
      </c>
      <c r="H1" s="11" t="inlineStr">
        <is>
          <t>Target Load</t>
        </is>
      </c>
      <c r="I1" s="11" t="inlineStr">
        <is>
          <t>Achieved Load</t>
        </is>
      </c>
      <c r="J1" s="11" t="inlineStr">
        <is>
          <t>p50 (ms)</t>
        </is>
      </c>
      <c r="K1" s="11" t="inlineStr">
        <is>
          <t>p95 (ms)</t>
        </is>
      </c>
      <c r="L1" s="11" t="inlineStr">
        <is>
          <t>p99 (ms)</t>
        </is>
      </c>
      <c r="M1" s="11" t="inlineStr">
        <is>
          <t>p99.9 (ms)</t>
        </is>
      </c>
      <c r="N1" s="11" t="inlineStr">
        <is>
          <t>Error Rate</t>
        </is>
      </c>
      <c r="O1" s="11" t="inlineStr">
        <is>
          <t>Max CPU %</t>
        </is>
      </c>
      <c r="P1" s="11" t="inlineStr">
        <is>
          <t>Max Memory (GB)</t>
        </is>
      </c>
      <c r="Q1" s="11" t="inlineStr">
        <is>
          <t>SLO p99 (ms)</t>
        </is>
      </c>
      <c r="R1" s="11" t="inlineStr">
        <is>
          <t>SLO Max Error</t>
        </is>
      </c>
      <c r="S1" s="11" t="inlineStr">
        <is>
          <t>Attainment</t>
        </is>
      </c>
      <c r="T1" s="11" t="inlineStr">
        <is>
          <t>Result</t>
        </is>
      </c>
      <c r="U1" s="11" t="inlineStr">
        <is>
          <t>Date</t>
        </is>
      </c>
      <c r="V1" s="11" t="inlineStr">
        <is>
          <t>Breaking Point / Observations</t>
        </is>
      </c>
      <c r="W1" s="11" t="inlineStr">
        <is>
          <t>Evidence Link</t>
        </is>
      </c>
    </row>
    <row r="2">
      <c r="A2" s="26" t="inlineStr">
        <is>
          <t>EX-LR-001</t>
        </is>
      </c>
      <c r="B2" s="26" t="inlineStr">
        <is>
          <t>EXAMPLE</t>
        </is>
      </c>
      <c r="C2" s="26" t="inlineStr">
        <is>
          <t>Load</t>
        </is>
      </c>
      <c r="D2" s="26" t="inlineStr">
        <is>
          <t>Example: ingestion at 10k events/s</t>
        </is>
      </c>
      <c r="E2" s="26" t="inlineStr">
        <is>
          <t>Gatling</t>
        </is>
      </c>
      <c r="F2" s="26" t="inlineStr">
        <is>
          <t>staging</t>
        </is>
      </c>
      <c r="G2" s="26" t="n">
        <v>30</v>
      </c>
      <c r="H2" s="35" t="n">
        <v>10000</v>
      </c>
      <c r="I2" s="35" t="n">
        <v>10450</v>
      </c>
      <c r="J2" s="26" t="n">
        <v>8</v>
      </c>
      <c r="K2" s="26" t="n">
        <v>21</v>
      </c>
      <c r="L2" s="26" t="n">
        <v>38</v>
      </c>
      <c r="M2" s="26" t="n">
        <v>95</v>
      </c>
      <c r="N2" s="40" t="n">
        <v>0.0003</v>
      </c>
      <c r="O2" s="28" t="n">
        <v>0.68</v>
      </c>
      <c r="P2" s="26" t="n">
        <v>3.1</v>
      </c>
      <c r="Q2" s="26" t="n">
        <v>50</v>
      </c>
      <c r="R2" s="40" t="n">
        <v>0.001</v>
      </c>
      <c r="S2" s="28">
        <f>IF(OR(H2="",I2="",H2=0),"",I2/H2)</f>
        <v/>
      </c>
      <c r="T2" s="26">
        <f>IF(I2="","NOT RUN",IF(AND(I2&gt;=H2,OR(Q2=0,L2&lt;=Q2),N2&lt;=R2),"PASS","FAIL"))</f>
        <v/>
      </c>
      <c r="U2" s="27" t="n">
        <v>46338</v>
      </c>
      <c r="V2" s="26" t="inlineStr">
        <is>
          <t>Kafka consumer lag peaked at 1.2 s</t>
        </is>
      </c>
      <c r="W2" s="26" t="inlineStr">
        <is>
          <t>https://grafana.example/d/abc</t>
        </is>
      </c>
    </row>
    <row r="3">
      <c r="A3" s="29" t="inlineStr">
        <is>
          <t>LR-PLT-01</t>
        </is>
      </c>
      <c r="B3" s="29" t="inlineStr">
        <is>
          <t>Platform</t>
        </is>
      </c>
      <c r="C3" s="29" t="inlineStr">
        <is>
          <t>Load</t>
        </is>
      </c>
      <c r="D3" s="29" t="inlineStr">
        <is>
          <t>Auth: 500 logins/s for 15 min</t>
        </is>
      </c>
      <c r="E3" s="29" t="inlineStr">
        <is>
          <t>k6</t>
        </is>
      </c>
      <c r="F3" s="29" t="inlineStr">
        <is>
          <t>staging: 3 x m6i.large</t>
        </is>
      </c>
      <c r="G3" s="29" t="n">
        <v>15</v>
      </c>
      <c r="H3" s="38" t="n">
        <v>500</v>
      </c>
      <c r="I3" s="39" t="n"/>
      <c r="J3" s="31" t="n"/>
      <c r="K3" s="31" t="n"/>
      <c r="L3" s="31" t="n"/>
      <c r="M3" s="31" t="n"/>
      <c r="N3" s="37" t="n"/>
      <c r="O3" s="32" t="n"/>
      <c r="P3" s="31" t="n"/>
      <c r="Q3" s="29" t="n">
        <v>300</v>
      </c>
      <c r="R3" s="36" t="n">
        <v>0.001</v>
      </c>
      <c r="S3" s="33">
        <f>IF(OR(H3="",I3="",H3=0),"",I3/H3)</f>
        <v/>
      </c>
      <c r="T3" s="29">
        <f>IF(I3="","NOT RUN",IF(AND(I3&gt;=H3,OR(Q3=0,L3&lt;=Q3),N3&lt;=R3),"PASS","FAIL"))</f>
        <v/>
      </c>
      <c r="U3" s="34" t="n"/>
      <c r="V3" s="31" t="n"/>
      <c r="W3" s="31" t="n"/>
    </row>
    <row r="4">
      <c r="A4" s="29" t="inlineStr">
        <is>
          <t>LR-PLT-02</t>
        </is>
      </c>
      <c r="B4" s="29" t="inlineStr">
        <is>
          <t>Platform</t>
        </is>
      </c>
      <c r="C4" s="29" t="inlineStr">
        <is>
          <t>Spike</t>
        </is>
      </c>
      <c r="D4" s="29" t="inlineStr">
        <is>
          <t>Auth: 0 -&gt; 2,000 logins/s in 10 s</t>
        </is>
      </c>
      <c r="E4" s="29" t="inlineStr">
        <is>
          <t>k6</t>
        </is>
      </c>
      <c r="F4" s="29" t="inlineStr">
        <is>
          <t>staging</t>
        </is>
      </c>
      <c r="G4" s="29" t="n">
        <v>5</v>
      </c>
      <c r="H4" s="38" t="n">
        <v>2000</v>
      </c>
      <c r="I4" s="39" t="n"/>
      <c r="J4" s="31" t="n"/>
      <c r="K4" s="31" t="n"/>
      <c r="L4" s="31" t="n"/>
      <c r="M4" s="31" t="n"/>
      <c r="N4" s="37" t="n"/>
      <c r="O4" s="32" t="n"/>
      <c r="P4" s="31" t="n"/>
      <c r="Q4" s="29" t="n">
        <v>800</v>
      </c>
      <c r="R4" s="36" t="n">
        <v>0.01</v>
      </c>
      <c r="S4" s="33">
        <f>IF(OR(H4="",I4="",H4=0),"",I4/H4)</f>
        <v/>
      </c>
      <c r="T4" s="29">
        <f>IF(I4="","NOT RUN",IF(AND(I4&gt;=H4,OR(Q4=0,L4&lt;=Q4),N4&lt;=R4),"PASS","FAIL"))</f>
        <v/>
      </c>
      <c r="U4" s="34" t="n"/>
      <c r="V4" s="31" t="n"/>
      <c r="W4" s="31" t="n"/>
    </row>
    <row r="5">
      <c r="A5" s="29" t="inlineStr">
        <is>
          <t>LR-MB-01</t>
        </is>
      </c>
      <c r="B5" s="29" t="inlineStr">
        <is>
          <t>Product</t>
        </is>
      </c>
      <c r="C5" s="29" t="inlineStr">
        <is>
          <t>Load</t>
        </is>
      </c>
      <c r="D5" s="29" t="inlineStr">
        <is>
          <t>Usage ingestion at 10k events/s</t>
        </is>
      </c>
      <c r="E5" s="29" t="inlineStr">
        <is>
          <t>Gatling</t>
        </is>
      </c>
      <c r="F5" s="29" t="inlineStr">
        <is>
          <t>staging: 6 x m6i.xlarge, MSK 3 brokers</t>
        </is>
      </c>
      <c r="G5" s="29" t="n">
        <v>30</v>
      </c>
      <c r="H5" s="38" t="n">
        <v>10000</v>
      </c>
      <c r="I5" s="39" t="n"/>
      <c r="J5" s="31" t="n"/>
      <c r="K5" s="31" t="n"/>
      <c r="L5" s="31" t="n"/>
      <c r="M5" s="31" t="n"/>
      <c r="N5" s="37" t="n"/>
      <c r="O5" s="32" t="n"/>
      <c r="P5" s="31" t="n"/>
      <c r="Q5" s="29" t="n">
        <v>50</v>
      </c>
      <c r="R5" s="36" t="n">
        <v>0.001</v>
      </c>
      <c r="S5" s="33">
        <f>IF(OR(H5="",I5="",H5=0),"",I5/H5)</f>
        <v/>
      </c>
      <c r="T5" s="29">
        <f>IF(I5="","NOT RUN",IF(AND(I5&gt;=H5,OR(Q5=0,L5&lt;=Q5),N5&lt;=R5),"PASS","FAIL"))</f>
        <v/>
      </c>
      <c r="U5" s="34" t="n"/>
      <c r="V5" s="31" t="n"/>
      <c r="W5" s="31" t="n"/>
    </row>
    <row r="6">
      <c r="A6" s="29" t="inlineStr">
        <is>
          <t>LR-MB-02</t>
        </is>
      </c>
      <c r="B6" s="29" t="inlineStr">
        <is>
          <t>Product</t>
        </is>
      </c>
      <c r="C6" s="29" t="inlineStr">
        <is>
          <t>Stress / Breakpoint</t>
        </is>
      </c>
      <c r="D6" s="29" t="inlineStr">
        <is>
          <t>Ramp ingestion until SLO breach (target = expected peak x3)</t>
        </is>
      </c>
      <c r="E6" s="29" t="inlineStr">
        <is>
          <t>Gatling</t>
        </is>
      </c>
      <c r="F6" s="29" t="inlineStr">
        <is>
          <t>staging</t>
        </is>
      </c>
      <c r="G6" s="29" t="n">
        <v>30</v>
      </c>
      <c r="H6" s="38" t="n">
        <v>30000</v>
      </c>
      <c r="I6" s="39" t="n"/>
      <c r="J6" s="31" t="n"/>
      <c r="K6" s="31" t="n"/>
      <c r="L6" s="31" t="n"/>
      <c r="M6" s="31" t="n"/>
      <c r="N6" s="37" t="n"/>
      <c r="O6" s="32" t="n"/>
      <c r="P6" s="31" t="n"/>
      <c r="Q6" s="29" t="n">
        <v>200</v>
      </c>
      <c r="R6" s="36" t="n">
        <v>0.01</v>
      </c>
      <c r="S6" s="33">
        <f>IF(OR(H6="",I6="",H6=0),"",I6/H6)</f>
        <v/>
      </c>
      <c r="T6" s="29">
        <f>IF(I6="","NOT RUN",IF(AND(I6&gt;=H6,OR(Q6=0,L6&lt;=Q6),N6&lt;=R6),"PASS","FAIL"))</f>
        <v/>
      </c>
      <c r="U6" s="34" t="n"/>
      <c r="V6" s="31" t="n"/>
      <c r="W6" s="31" t="n"/>
    </row>
    <row r="7">
      <c r="A7" s="29" t="inlineStr">
        <is>
          <t>LR-MB-03</t>
        </is>
      </c>
      <c r="B7" s="29" t="inlineStr">
        <is>
          <t>Product</t>
        </is>
      </c>
      <c r="C7" s="29" t="inlineStr">
        <is>
          <t>Spike</t>
        </is>
      </c>
      <c r="D7" s="29" t="inlineStr">
        <is>
          <t>Invoice API 0 -&gt; 5k RPS in 10 s</t>
        </is>
      </c>
      <c r="E7" s="29" t="inlineStr">
        <is>
          <t>Gatling</t>
        </is>
      </c>
      <c r="F7" s="29" t="inlineStr">
        <is>
          <t>staging</t>
        </is>
      </c>
      <c r="G7" s="29" t="n">
        <v>5</v>
      </c>
      <c r="H7" s="38" t="n">
        <v>5000</v>
      </c>
      <c r="I7" s="39" t="n"/>
      <c r="J7" s="31" t="n"/>
      <c r="K7" s="31" t="n"/>
      <c r="L7" s="31" t="n"/>
      <c r="M7" s="31" t="n"/>
      <c r="N7" s="37" t="n"/>
      <c r="O7" s="32" t="n"/>
      <c r="P7" s="31" t="n"/>
      <c r="Q7" s="29" t="n">
        <v>150</v>
      </c>
      <c r="R7" s="36" t="n">
        <v>0.01</v>
      </c>
      <c r="S7" s="33">
        <f>IF(OR(H7="",I7="",H7=0),"",I7/H7)</f>
        <v/>
      </c>
      <c r="T7" s="29">
        <f>IF(I7="","NOT RUN",IF(AND(I7&gt;=H7,OR(Q7=0,L7&lt;=Q7),N7&lt;=R7),"PASS","FAIL"))</f>
        <v/>
      </c>
      <c r="U7" s="34" t="n"/>
      <c r="V7" s="31" t="n"/>
      <c r="W7" s="31" t="n"/>
    </row>
    <row r="8">
      <c r="A8" s="29" t="inlineStr">
        <is>
          <t>LR-MB-04</t>
        </is>
      </c>
      <c r="B8" s="29" t="inlineStr">
        <is>
          <t>Product</t>
        </is>
      </c>
      <c r="C8" s="29" t="inlineStr">
        <is>
          <t>Soak / Endurance</t>
        </is>
      </c>
      <c r="D8" s="29" t="inlineStr">
        <is>
          <t>60% peak for 8 h</t>
        </is>
      </c>
      <c r="E8" s="29" t="inlineStr">
        <is>
          <t>Gatling + JFR</t>
        </is>
      </c>
      <c r="F8" s="29" t="inlineStr">
        <is>
          <t>staging</t>
        </is>
      </c>
      <c r="G8" s="29" t="n">
        <v>480</v>
      </c>
      <c r="H8" s="38" t="n">
        <v>6000</v>
      </c>
      <c r="I8" s="39" t="n"/>
      <c r="J8" s="31" t="n"/>
      <c r="K8" s="31" t="n"/>
      <c r="L8" s="31" t="n"/>
      <c r="M8" s="31" t="n"/>
      <c r="N8" s="37" t="n"/>
      <c r="O8" s="32" t="n"/>
      <c r="P8" s="31" t="n"/>
      <c r="Q8" s="29" t="n">
        <v>50</v>
      </c>
      <c r="R8" s="36" t="n">
        <v>0.001</v>
      </c>
      <c r="S8" s="33">
        <f>IF(OR(H8="",I8="",H8=0),"",I8/H8)</f>
        <v/>
      </c>
      <c r="T8" s="29">
        <f>IF(I8="","NOT RUN",IF(AND(I8&gt;=H8,OR(Q8=0,L8&lt;=Q8),N8&lt;=R8),"PASS","FAIL"))</f>
        <v/>
      </c>
      <c r="U8" s="34" t="n"/>
      <c r="V8" s="31" t="n"/>
      <c r="W8" s="31" t="n"/>
    </row>
    <row r="9">
      <c r="A9" s="29" t="inlineStr">
        <is>
          <t>LR-MB-05</t>
        </is>
      </c>
      <c r="B9" s="29" t="inlineStr">
        <is>
          <t>Product</t>
        </is>
      </c>
      <c r="C9" s="29" t="inlineStr">
        <is>
          <t>Scalability</t>
        </is>
      </c>
      <c r="D9" s="29" t="inlineStr">
        <is>
          <t>Double app nodes 6 -&gt; 12; expect &gt;= 1.7x throughput</t>
        </is>
      </c>
      <c r="E9" s="29" t="inlineStr">
        <is>
          <t>Gatling</t>
        </is>
      </c>
      <c r="F9" s="29" t="inlineStr">
        <is>
          <t>staging</t>
        </is>
      </c>
      <c r="G9" s="29" t="n">
        <v>30</v>
      </c>
      <c r="H9" s="38" t="n">
        <v>17000</v>
      </c>
      <c r="I9" s="39" t="n"/>
      <c r="J9" s="31" t="n"/>
      <c r="K9" s="31" t="n"/>
      <c r="L9" s="31" t="n"/>
      <c r="M9" s="31" t="n"/>
      <c r="N9" s="37" t="n"/>
      <c r="O9" s="32" t="n"/>
      <c r="P9" s="31" t="n"/>
      <c r="Q9" s="29" t="n">
        <v>50</v>
      </c>
      <c r="R9" s="36" t="n">
        <v>0.001</v>
      </c>
      <c r="S9" s="33">
        <f>IF(OR(H9="",I9="",H9=0),"",I9/H9)</f>
        <v/>
      </c>
      <c r="T9" s="29">
        <f>IF(I9="","NOT RUN",IF(AND(I9&gt;=H9,OR(Q9=0,L9&lt;=Q9),N9&lt;=R9),"PASS","FAIL"))</f>
        <v/>
      </c>
      <c r="U9" s="34" t="n"/>
      <c r="V9" s="31" t="n"/>
      <c r="W9" s="31" t="n"/>
    </row>
    <row r="10">
      <c r="A10" s="29" t="inlineStr">
        <is>
          <t>LR-MB-06</t>
        </is>
      </c>
      <c r="B10" s="29" t="inlineStr">
        <is>
          <t>Product</t>
        </is>
      </c>
      <c r="C10" s="29" t="inlineStr">
        <is>
          <t>Volume</t>
        </is>
      </c>
      <c r="D10" s="29" t="inlineStr">
        <is>
          <t>Invoice run on 100k customers / 50M usage rows</t>
        </is>
      </c>
      <c r="E10" s="29" t="inlineStr">
        <is>
          <t>Custom generator</t>
        </is>
      </c>
      <c r="F10" s="29" t="inlineStr">
        <is>
          <t>staging</t>
        </is>
      </c>
      <c r="G10" s="29" t="n">
        <v>15</v>
      </c>
      <c r="H10" s="38" t="n">
        <v>100000</v>
      </c>
      <c r="I10" s="39" t="n"/>
      <c r="J10" s="31" t="n"/>
      <c r="K10" s="31" t="n"/>
      <c r="L10" s="31" t="n"/>
      <c r="M10" s="31" t="n"/>
      <c r="N10" s="37" t="n"/>
      <c r="O10" s="32" t="n"/>
      <c r="P10" s="31" t="n"/>
      <c r="Q10" s="29" t="n">
        <v>0</v>
      </c>
      <c r="R10" s="36" t="n">
        <v>0</v>
      </c>
      <c r="S10" s="33">
        <f>IF(OR(H10="",I10="",H10=0),"",I10/H10)</f>
        <v/>
      </c>
      <c r="T10" s="29">
        <f>IF(I10="","NOT RUN",IF(AND(I10&gt;=H10,OR(Q10=0,L10&lt;=Q10),N10&lt;=R10),"PASS","FAIL"))</f>
        <v/>
      </c>
      <c r="U10" s="34" t="n"/>
      <c r="V10" s="31" t="n"/>
      <c r="W10" s="31" t="n"/>
    </row>
  </sheetData>
  <autoFilter ref="A1:W600"/>
  <conditionalFormatting sqref="T2:T600">
    <cfRule type="expression" priority="1" dxfId="0">
      <formula>$T2="PASS"</formula>
    </cfRule>
    <cfRule type="expression" priority="2" dxfId="2">
      <formula>$T2="FAIL"</formula>
    </cfRule>
    <cfRule type="expression" priority="3" dxfId="4">
      <formula>$T2="NOT RUN"</formula>
    </cfRule>
    <cfRule type="expression" priority="4" dxfId="4">
      <formula>$T2="PENDING"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N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34" customWidth="1" min="4" max="4"/>
    <col width="28" customWidth="1" min="5" max="5"/>
    <col width="16" customWidth="1" min="6" max="6"/>
    <col width="34" customWidth="1" min="7" max="7"/>
    <col width="3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28" customWidth="1" min="14" max="14"/>
  </cols>
  <sheetData>
    <row r="1" ht="32" customHeight="1">
      <c r="A1" s="11" t="inlineStr">
        <is>
          <t>Experiment ID</t>
        </is>
      </c>
      <c r="B1" s="11" t="inlineStr">
        <is>
          <t>Track</t>
        </is>
      </c>
      <c r="C1" s="11" t="inlineStr">
        <is>
          <t>Fault Injected</t>
        </is>
      </c>
      <c r="D1" s="11" t="inlineStr">
        <is>
          <t>Steady-State Hypothesis</t>
        </is>
      </c>
      <c r="E1" s="11" t="inlineStr">
        <is>
          <t>Injection Method</t>
        </is>
      </c>
      <c r="F1" s="11" t="inlineStr">
        <is>
          <t>Blast Radius</t>
        </is>
      </c>
      <c r="G1" s="11" t="inlineStr">
        <is>
          <t>Expected Behaviour</t>
        </is>
      </c>
      <c r="H1" s="11" t="inlineStr">
        <is>
          <t>Observed Behaviour (input)</t>
        </is>
      </c>
      <c r="I1" s="11" t="inlineStr">
        <is>
          <t>Recovery Time (s)</t>
        </is>
      </c>
      <c r="J1" s="11" t="inlineStr">
        <is>
          <t>Target RTO (s)</t>
        </is>
      </c>
      <c r="K1" s="11" t="inlineStr">
        <is>
          <t>Data Loss? (Y/N)</t>
        </is>
      </c>
      <c r="L1" s="11" t="inlineStr">
        <is>
          <t>Date</t>
        </is>
      </c>
      <c r="M1" s="11" t="inlineStr">
        <is>
          <t>Result</t>
        </is>
      </c>
      <c r="N1" s="11" t="inlineStr">
        <is>
          <t>Evidence Link</t>
        </is>
      </c>
    </row>
    <row r="2">
      <c r="A2" s="26" t="inlineStr">
        <is>
          <t>EX-CH-001</t>
        </is>
      </c>
      <c r="B2" s="26" t="inlineStr">
        <is>
          <t>EXAMPLE</t>
        </is>
      </c>
      <c r="C2" s="26" t="inlineStr">
        <is>
          <t>Kafka broker loss</t>
        </is>
      </c>
      <c r="D2" s="26" t="inlineStr">
        <is>
          <t>Zero lost events</t>
        </is>
      </c>
      <c r="E2" s="26" t="inlineStr">
        <is>
          <t>PodChaos</t>
        </is>
      </c>
      <c r="F2" s="26" t="inlineStr">
        <is>
          <t>Ingestion</t>
        </is>
      </c>
      <c r="G2" s="26" t="inlineStr">
        <is>
          <t>Producer retries</t>
        </is>
      </c>
      <c r="H2" s="26" t="inlineStr">
        <is>
          <t>Lag spike 4 s; all events delivered</t>
        </is>
      </c>
      <c r="I2" s="26" t="n">
        <v>12</v>
      </c>
      <c r="J2" s="26" t="n">
        <v>30</v>
      </c>
      <c r="K2" s="26" t="inlineStr">
        <is>
          <t>N</t>
        </is>
      </c>
      <c r="L2" s="27" t="n">
        <v>46340</v>
      </c>
      <c r="M2" s="26">
        <f>IF(I2="","NOT RUN",IF(AND(I2&lt;=J2,K2="N"),"PASS","FAIL"))</f>
        <v/>
      </c>
      <c r="N2" s="26" t="inlineStr">
        <is>
          <t>https://github.com/you/repo/blob/main/chaos/kafka.md</t>
        </is>
      </c>
    </row>
    <row r="3">
      <c r="A3" s="29" t="inlineStr">
        <is>
          <t>CH-PLT-01</t>
        </is>
      </c>
      <c r="B3" s="29" t="inlineStr">
        <is>
          <t>Platform</t>
        </is>
      </c>
      <c r="C3" s="29" t="inlineStr">
        <is>
          <t>Primary DB failover</t>
        </is>
      </c>
      <c r="D3" s="29" t="inlineStr">
        <is>
          <t>Control plane serves logins with &lt; 1% errors</t>
        </is>
      </c>
      <c r="E3" s="29" t="inlineStr">
        <is>
          <t>RDS reboot with failover</t>
        </is>
      </c>
      <c r="F3" s="29" t="inlineStr">
        <is>
          <t>Control plane</t>
        </is>
      </c>
      <c r="G3" s="29" t="inlineStr">
        <is>
          <t>Multi-AZ failover; connection pool reconnects</t>
        </is>
      </c>
      <c r="H3" s="31" t="n"/>
      <c r="I3" s="31" t="n"/>
      <c r="J3" s="29" t="n">
        <v>120</v>
      </c>
      <c r="K3" s="31" t="n"/>
      <c r="L3" s="34" t="n"/>
      <c r="M3" s="29">
        <f>IF(I3="","NOT RUN",IF(AND(I3&lt;=J3,K3="N"),"PASS","FAIL"))</f>
        <v/>
      </c>
      <c r="N3" s="31" t="n"/>
    </row>
    <row r="4">
      <c r="A4" s="29" t="inlineStr">
        <is>
          <t>CH-PLT-02</t>
        </is>
      </c>
      <c r="B4" s="29" t="inlineStr">
        <is>
          <t>Platform</t>
        </is>
      </c>
      <c r="C4" s="29" t="inlineStr">
        <is>
          <t>Identity provider down</t>
        </is>
      </c>
      <c r="D4" s="29" t="inlineStr">
        <is>
          <t>Existing sessions keep working</t>
        </is>
      </c>
      <c r="E4" s="29" t="inlineStr">
        <is>
          <t>Scale Keycloak to 0</t>
        </is>
      </c>
      <c r="F4" s="29" t="inlineStr">
        <is>
          <t>Login only</t>
        </is>
      </c>
      <c r="G4" s="29" t="inlineStr">
        <is>
          <t>Cached JWKS; new logins fail with clear error</t>
        </is>
      </c>
      <c r="H4" s="31" t="n"/>
      <c r="I4" s="31" t="n"/>
      <c r="J4" s="29" t="n">
        <v>0</v>
      </c>
      <c r="K4" s="31" t="n"/>
      <c r="L4" s="34" t="n"/>
      <c r="M4" s="29">
        <f>IF(I4="","NOT RUN",IF(AND(I4&lt;=J4,K4="N"),"PASS","FAIL"))</f>
        <v/>
      </c>
      <c r="N4" s="31" t="n"/>
    </row>
    <row r="5">
      <c r="A5" s="29" t="inlineStr">
        <is>
          <t>CH-MB-01</t>
        </is>
      </c>
      <c r="B5" s="29" t="inlineStr">
        <is>
          <t>Product</t>
        </is>
      </c>
      <c r="C5" s="29" t="inlineStr">
        <is>
          <t>Kafka broker loss</t>
        </is>
      </c>
      <c r="D5" s="29" t="inlineStr">
        <is>
          <t>Usage ingestion continues; zero lost events</t>
        </is>
      </c>
      <c r="E5" s="29" t="inlineStr">
        <is>
          <t>Chaos Mesh PodChaos on 1 of 3 brokers</t>
        </is>
      </c>
      <c r="F5" s="29" t="inlineStr">
        <is>
          <t>Ingestion</t>
        </is>
      </c>
      <c r="G5" s="29" t="inlineStr">
        <is>
          <t>Producer retries; ISR keeps writes durable</t>
        </is>
      </c>
      <c r="H5" s="31" t="n"/>
      <c r="I5" s="31" t="n"/>
      <c r="J5" s="29" t="n">
        <v>30</v>
      </c>
      <c r="K5" s="31" t="n"/>
      <c r="L5" s="34" t="n"/>
      <c r="M5" s="29">
        <f>IF(I5="","NOT RUN",IF(AND(I5&lt;=J5,K5="N"),"PASS","FAIL"))</f>
        <v/>
      </c>
      <c r="N5" s="31" t="n"/>
    </row>
    <row r="6">
      <c r="A6" s="29" t="inlineStr">
        <is>
          <t>CH-MB-02</t>
        </is>
      </c>
      <c r="B6" s="29" t="inlineStr">
        <is>
          <t>Product</t>
        </is>
      </c>
      <c r="C6" s="29" t="inlineStr">
        <is>
          <t>App pod kill mid-transaction</t>
        </is>
      </c>
      <c r="D6" s="29" t="inlineStr">
        <is>
          <t>Ledger stays balanced</t>
        </is>
      </c>
      <c r="E6" s="29" t="inlineStr">
        <is>
          <t>PodChaos kill every 30 s for 10 min</t>
        </is>
      </c>
      <c r="F6" s="29" t="inlineStr">
        <is>
          <t>Ledger service</t>
        </is>
      </c>
      <c r="G6" s="29" t="inlineStr">
        <is>
          <t>Txn rolls back or commits atomically; outbox replays</t>
        </is>
      </c>
      <c r="H6" s="31" t="n"/>
      <c r="I6" s="31" t="n"/>
      <c r="J6" s="29" t="n">
        <v>10</v>
      </c>
      <c r="K6" s="31" t="n"/>
      <c r="L6" s="34" t="n"/>
      <c r="M6" s="29">
        <f>IF(I6="","NOT RUN",IF(AND(I6&lt;=J6,K6="N"),"PASS","FAIL"))</f>
        <v/>
      </c>
      <c r="N6" s="31" t="n"/>
    </row>
    <row r="7">
      <c r="A7" s="29" t="inlineStr">
        <is>
          <t>CH-MB-03</t>
        </is>
      </c>
      <c r="B7" s="29" t="inlineStr">
        <is>
          <t>Product</t>
        </is>
      </c>
      <c r="C7" s="29" t="inlineStr">
        <is>
          <t>Postgres latency 500 ms</t>
        </is>
      </c>
      <c r="D7" s="29" t="inlineStr">
        <is>
          <t>API p99 degrades but no errors &gt; 1%</t>
        </is>
      </c>
      <c r="E7" s="29" t="inlineStr">
        <is>
          <t>Toxiproxy latency</t>
        </is>
      </c>
      <c r="F7" s="29" t="inlineStr">
        <is>
          <t>Ledger DB</t>
        </is>
      </c>
      <c r="G7" s="29" t="inlineStr">
        <is>
          <t>Timeouts + breaker; idempotent retries</t>
        </is>
      </c>
      <c r="H7" s="31" t="n"/>
      <c r="I7" s="31" t="n"/>
      <c r="J7" s="29" t="n">
        <v>60</v>
      </c>
      <c r="K7" s="31" t="n"/>
      <c r="L7" s="34" t="n"/>
      <c r="M7" s="29">
        <f>IF(I7="","NOT RUN",IF(AND(I7&lt;=J7,K7="N"),"PASS","FAIL"))</f>
        <v/>
      </c>
      <c r="N7" s="31" t="n"/>
    </row>
    <row r="8">
      <c r="A8" s="29" t="inlineStr">
        <is>
          <t>CH-MB-04</t>
        </is>
      </c>
      <c r="B8" s="29" t="inlineStr">
        <is>
          <t>Product</t>
        </is>
      </c>
      <c r="C8" s="29" t="inlineStr">
        <is>
          <t>PSP (Stripe) outage</t>
        </is>
      </c>
      <c r="D8" s="29" t="inlineStr">
        <is>
          <t>Payments queued, retried later; no double charge</t>
        </is>
      </c>
      <c r="E8" s="29" t="inlineStr">
        <is>
          <t>Toxiproxy 100% 503</t>
        </is>
      </c>
      <c r="F8" s="29" t="inlineStr">
        <is>
          <t>Payment adapter</t>
        </is>
      </c>
      <c r="G8" s="29" t="inlineStr">
        <is>
          <t>Temporal retries with backoff</t>
        </is>
      </c>
      <c r="H8" s="31" t="n"/>
      <c r="I8" s="31" t="n"/>
      <c r="J8" s="29" t="n">
        <v>300</v>
      </c>
      <c r="K8" s="31" t="n"/>
      <c r="L8" s="34" t="n"/>
      <c r="M8" s="29">
        <f>IF(I8="","NOT RUN",IF(AND(I8&lt;=J8,K8="N"),"PASS","FAIL"))</f>
        <v/>
      </c>
      <c r="N8" s="31" t="n"/>
    </row>
    <row r="9">
      <c r="A9" s="29" t="inlineStr">
        <is>
          <t>CH-MB-05</t>
        </is>
      </c>
      <c r="B9" s="29" t="inlineStr">
        <is>
          <t>Product</t>
        </is>
      </c>
      <c r="C9" s="29" t="inlineStr">
        <is>
          <t>Redis loss (idempotency store)</t>
        </is>
      </c>
      <c r="D9" s="29" t="inlineStr">
        <is>
          <t>No duplicate charges</t>
        </is>
      </c>
      <c r="E9" s="29" t="inlineStr">
        <is>
          <t>Delete Redis pod</t>
        </is>
      </c>
      <c r="F9" s="29" t="inlineStr">
        <is>
          <t>Idempotency</t>
        </is>
      </c>
      <c r="G9" s="29" t="inlineStr">
        <is>
          <t>Fallback to Postgres idempotency table</t>
        </is>
      </c>
      <c r="H9" s="31" t="n"/>
      <c r="I9" s="31" t="n"/>
      <c r="J9" s="29" t="n">
        <v>30</v>
      </c>
      <c r="K9" s="31" t="n"/>
      <c r="L9" s="34" t="n"/>
      <c r="M9" s="29">
        <f>IF(I9="","NOT RUN",IF(AND(I9&lt;=J9,K9="N"),"PASS","FAIL"))</f>
        <v/>
      </c>
      <c r="N9" s="31" t="n"/>
    </row>
  </sheetData>
  <autoFilter ref="A1:N600"/>
  <conditionalFormatting sqref="M2:M600">
    <cfRule type="expression" priority="1" dxfId="0">
      <formula>$M2="PASS"</formula>
    </cfRule>
    <cfRule type="expression" priority="2" dxfId="2">
      <formula>$M2="FAIL"</formula>
    </cfRule>
    <cfRule type="expression" priority="3" dxfId="4">
      <formula>$M2="NOT RUN"</formula>
    </cfRule>
    <cfRule type="expression" priority="4" dxfId="4">
      <formula>$M2="PENDING"</formula>
    </cfRule>
  </conditionalFormatting>
  <dataValidations count="1">
    <dataValidation sqref="K2:K6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2" customWidth="1" min="12" max="12"/>
    <col width="30" customWidth="1" min="13" max="13"/>
  </cols>
  <sheetData>
    <row r="1" ht="32" customHeight="1">
      <c r="A1" s="11" t="inlineStr">
        <is>
          <t>Track</t>
        </is>
      </c>
      <c r="B1" s="11" t="inlineStr">
        <is>
          <t>Module</t>
        </is>
      </c>
      <c r="C1" s="11" t="inlineStr">
        <is>
          <t>Language</t>
        </is>
      </c>
      <c r="D1" s="11" t="inlineStr">
        <is>
          <t>Tool</t>
        </is>
      </c>
      <c r="E1" s="11" t="inlineStr">
        <is>
          <t>Line % (input)</t>
        </is>
      </c>
      <c r="F1" s="11" t="inlineStr">
        <is>
          <t>Branch % (input)</t>
        </is>
      </c>
      <c r="G1" s="11" t="inlineStr">
        <is>
          <t>Mutation % (input)</t>
        </is>
      </c>
      <c r="H1" s="11" t="inlineStr">
        <is>
          <t>Target Line %</t>
        </is>
      </c>
      <c r="I1" s="11" t="inlineStr">
        <is>
          <t>Target Branch %</t>
        </is>
      </c>
      <c r="J1" s="11" t="inlineStr">
        <is>
          <t>Target Mutation %</t>
        </is>
      </c>
      <c r="K1" s="11" t="inlineStr">
        <is>
          <t>Result</t>
        </is>
      </c>
      <c r="L1" s="11" t="inlineStr">
        <is>
          <t>Date</t>
        </is>
      </c>
      <c r="M1" s="11" t="inlineStr">
        <is>
          <t>Evidence Link</t>
        </is>
      </c>
    </row>
    <row r="2">
      <c r="A2" s="26" t="inlineStr">
        <is>
          <t>EXAMPLE</t>
        </is>
      </c>
      <c r="B2" s="26" t="inlineStr">
        <is>
          <t>ledger</t>
        </is>
      </c>
      <c r="C2" s="26" t="inlineStr">
        <is>
          <t>Java</t>
        </is>
      </c>
      <c r="D2" s="26" t="inlineStr">
        <is>
          <t>JaCoCo + PIT</t>
        </is>
      </c>
      <c r="E2" s="28" t="n">
        <v>0.93</v>
      </c>
      <c r="F2" s="28" t="n">
        <v>0.88</v>
      </c>
      <c r="G2" s="28" t="n">
        <v>0.79</v>
      </c>
      <c r="H2" s="28" t="n">
        <v>0.9</v>
      </c>
      <c r="I2" s="28" t="n">
        <v>0.85</v>
      </c>
      <c r="J2" s="28" t="n">
        <v>0.75</v>
      </c>
      <c r="K2" s="26">
        <f>IF(OR(E2="",F2="",G2=""),"PENDING",IF(AND(E2&gt;=H2,F2&gt;=I2,G2&gt;=J2),"PASS","FAIL"))</f>
        <v/>
      </c>
      <c r="L2" s="27" t="n">
        <v>46346</v>
      </c>
      <c r="M2" s="26" t="inlineStr">
        <is>
          <t>https://app.codecov.io/gh/you/repo</t>
        </is>
      </c>
    </row>
    <row r="3">
      <c r="A3" s="29" t="inlineStr">
        <is>
          <t>Platform</t>
        </is>
      </c>
      <c r="B3" s="29" t="inlineStr">
        <is>
          <t>identity</t>
        </is>
      </c>
      <c r="C3" s="29" t="inlineStr">
        <is>
          <t>Java</t>
        </is>
      </c>
      <c r="D3" s="29" t="inlineStr">
        <is>
          <t>JaCoCo + PIT</t>
        </is>
      </c>
      <c r="E3" s="32" t="n"/>
      <c r="F3" s="32" t="n"/>
      <c r="G3" s="32" t="n"/>
      <c r="H3" s="33" t="n">
        <v>0.9</v>
      </c>
      <c r="I3" s="33" t="n">
        <v>0.85</v>
      </c>
      <c r="J3" s="33" t="n">
        <v>0.75</v>
      </c>
      <c r="K3" s="29">
        <f>IF(OR(E3="",F3="",G3=""),"PENDING",IF(AND(E3&gt;=H3,F3&gt;=I3,G3&gt;=J3),"PASS","FAIL"))</f>
        <v/>
      </c>
      <c r="L3" s="34" t="n"/>
      <c r="M3" s="31" t="n"/>
    </row>
    <row r="4">
      <c r="A4" s="29" t="inlineStr">
        <is>
          <t>Platform</t>
        </is>
      </c>
      <c r="B4" s="29" t="inlineStr">
        <is>
          <t>tenancy</t>
        </is>
      </c>
      <c r="C4" s="29" t="inlineStr">
        <is>
          <t>Java</t>
        </is>
      </c>
      <c r="D4" s="29" t="inlineStr">
        <is>
          <t>JaCoCo + PIT</t>
        </is>
      </c>
      <c r="E4" s="32" t="n"/>
      <c r="F4" s="32" t="n"/>
      <c r="G4" s="32" t="n"/>
      <c r="H4" s="33" t="n">
        <v>0.9</v>
      </c>
      <c r="I4" s="33" t="n">
        <v>0.85</v>
      </c>
      <c r="J4" s="33" t="n">
        <v>0.75</v>
      </c>
      <c r="K4" s="29">
        <f>IF(OR(E4="",F4="",G4=""),"PENDING",IF(AND(E4&gt;=H4,F4&gt;=I4,G4&gt;=J4),"PASS","FAIL"))</f>
        <v/>
      </c>
      <c r="L4" s="34" t="n"/>
      <c r="M4" s="31" t="n"/>
    </row>
    <row r="5">
      <c r="A5" s="29" t="inlineStr">
        <is>
          <t>Product</t>
        </is>
      </c>
      <c r="B5" s="29" t="inlineStr">
        <is>
          <t>ledger</t>
        </is>
      </c>
      <c r="C5" s="29" t="inlineStr">
        <is>
          <t>Java</t>
        </is>
      </c>
      <c r="D5" s="29" t="inlineStr">
        <is>
          <t>JaCoCo + PIT</t>
        </is>
      </c>
      <c r="E5" s="32" t="n"/>
      <c r="F5" s="32" t="n"/>
      <c r="G5" s="32" t="n"/>
      <c r="H5" s="33" t="n">
        <v>0.9</v>
      </c>
      <c r="I5" s="33" t="n">
        <v>0.85</v>
      </c>
      <c r="J5" s="33" t="n">
        <v>0.75</v>
      </c>
      <c r="K5" s="29">
        <f>IF(OR(E5="",F5="",G5=""),"PENDING",IF(AND(E5&gt;=H5,F5&gt;=I5,G5&gt;=J5),"PASS","FAIL"))</f>
        <v/>
      </c>
      <c r="L5" s="34" t="n"/>
      <c r="M5" s="31" t="n"/>
    </row>
    <row r="6">
      <c r="A6" s="29" t="inlineStr">
        <is>
          <t>Product</t>
        </is>
      </c>
      <c r="B6" s="29" t="inlineStr">
        <is>
          <t>pricing</t>
        </is>
      </c>
      <c r="C6" s="29" t="inlineStr">
        <is>
          <t>Java</t>
        </is>
      </c>
      <c r="D6" s="29" t="inlineStr">
        <is>
          <t>JaCoCo + PIT</t>
        </is>
      </c>
      <c r="E6" s="32" t="n"/>
      <c r="F6" s="32" t="n"/>
      <c r="G6" s="32" t="n"/>
      <c r="H6" s="33" t="n">
        <v>0.9</v>
      </c>
      <c r="I6" s="33" t="n">
        <v>0.85</v>
      </c>
      <c r="J6" s="33" t="n">
        <v>0.75</v>
      </c>
      <c r="K6" s="29">
        <f>IF(OR(E6="",F6="",G6=""),"PENDING",IF(AND(E6&gt;=H6,F6&gt;=I6,G6&gt;=J6),"PASS","FAIL"))</f>
        <v/>
      </c>
      <c r="L6" s="34" t="n"/>
      <c r="M6" s="31" t="n"/>
    </row>
    <row r="7">
      <c r="A7" s="29" t="inlineStr">
        <is>
          <t>Product</t>
        </is>
      </c>
      <c r="B7" s="29" t="inlineStr">
        <is>
          <t>invoicing</t>
        </is>
      </c>
      <c r="C7" s="29" t="inlineStr">
        <is>
          <t>Java</t>
        </is>
      </c>
      <c r="D7" s="29" t="inlineStr">
        <is>
          <t>JaCoCo + PIT</t>
        </is>
      </c>
      <c r="E7" s="32" t="n"/>
      <c r="F7" s="32" t="n"/>
      <c r="G7" s="32" t="n"/>
      <c r="H7" s="33" t="n">
        <v>0.9</v>
      </c>
      <c r="I7" s="33" t="n">
        <v>0.85</v>
      </c>
      <c r="J7" s="33" t="n">
        <v>0.75</v>
      </c>
      <c r="K7" s="29">
        <f>IF(OR(E7="",F7="",G7=""),"PENDING",IF(AND(E7&gt;=H7,F7&gt;=I7,G7&gt;=J7),"PASS","FAIL"))</f>
        <v/>
      </c>
      <c r="L7" s="34" t="n"/>
      <c r="M7" s="31" t="n"/>
    </row>
    <row r="8">
      <c r="A8" s="29" t="inlineStr">
        <is>
          <t>Product</t>
        </is>
      </c>
      <c r="B8" s="29" t="inlineStr">
        <is>
          <t>webhooks</t>
        </is>
      </c>
      <c r="C8" s="29" t="inlineStr">
        <is>
          <t>Java</t>
        </is>
      </c>
      <c r="D8" s="29" t="inlineStr">
        <is>
          <t>JaCoCo + PIT</t>
        </is>
      </c>
      <c r="E8" s="32" t="n"/>
      <c r="F8" s="32" t="n"/>
      <c r="G8" s="32" t="n"/>
      <c r="H8" s="33" t="n">
        <v>0.9</v>
      </c>
      <c r="I8" s="33" t="n">
        <v>0.85</v>
      </c>
      <c r="J8" s="33" t="n">
        <v>0.75</v>
      </c>
      <c r="K8" s="29">
        <f>IF(OR(E8="",F8="",G8=""),"PENDING",IF(AND(E8&gt;=H8,F8&gt;=I8,G8&gt;=J8),"PASS","FAIL"))</f>
        <v/>
      </c>
      <c r="L8" s="34" t="n"/>
      <c r="M8" s="31" t="n"/>
    </row>
  </sheetData>
  <autoFilter ref="A1:M600"/>
  <conditionalFormatting sqref="K2:K600">
    <cfRule type="expression" priority="1" dxfId="0">
      <formula>$K2="PASS"</formula>
    </cfRule>
    <cfRule type="expression" priority="2" dxfId="2">
      <formula>$K2="FAIL"</formula>
    </cfRule>
    <cfRule type="expression" priority="3" dxfId="4">
      <formula>$K2="NOT RUN"</formula>
    </cfRule>
    <cfRule type="expression" priority="4" dxfId="4">
      <formula>$K2="PENDING"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36" customWidth="1" min="10" max="10"/>
    <col width="28" customWidth="1" min="11" max="11"/>
    <col width="12" customWidth="1" min="12" max="12"/>
  </cols>
  <sheetData>
    <row r="1" ht="32" customHeight="1">
      <c r="A1" s="11" t="inlineStr">
        <is>
          <t>Defect ID</t>
        </is>
      </c>
      <c r="B1" s="11" t="inlineStr">
        <is>
          <t>Track</t>
        </is>
      </c>
      <c r="C1" s="11" t="inlineStr">
        <is>
          <t>Title</t>
        </is>
      </c>
      <c r="D1" s="11" t="inlineStr">
        <is>
          <t>Severity</t>
        </is>
      </c>
      <c r="E1" s="11" t="inlineStr">
        <is>
          <t>Found By (Test ID)</t>
        </is>
      </c>
      <c r="F1" s="11" t="inlineStr">
        <is>
          <t>Status</t>
        </is>
      </c>
      <c r="G1" s="11" t="inlineStr">
        <is>
          <t>Opened</t>
        </is>
      </c>
      <c r="H1" s="11" t="inlineStr">
        <is>
          <t>Closed</t>
        </is>
      </c>
      <c r="I1" s="11" t="inlineStr">
        <is>
          <t>Days Open</t>
        </is>
      </c>
      <c r="J1" s="11" t="inlineStr">
        <is>
          <t>Root Cause</t>
        </is>
      </c>
      <c r="K1" s="11" t="inlineStr">
        <is>
          <t>Fix PR</t>
        </is>
      </c>
      <c r="L1" s="11" t="inlineStr">
        <is>
          <t>Regression Test Added (Y/N)</t>
        </is>
      </c>
    </row>
    <row r="2">
      <c r="A2" s="26" t="inlineStr">
        <is>
          <t>EX-D-001</t>
        </is>
      </c>
      <c r="B2" s="26" t="inlineStr">
        <is>
          <t>EXAMPLE</t>
        </is>
      </c>
      <c r="C2" s="26" t="inlineStr">
        <is>
          <t>Duplicate ledger entry when two retries race</t>
        </is>
      </c>
      <c r="D2" s="26" t="inlineStr">
        <is>
          <t>S1-Critical</t>
        </is>
      </c>
      <c r="E2" s="26" t="inlineStr">
        <is>
          <t>TC-MB-005</t>
        </is>
      </c>
      <c r="F2" s="26" t="inlineStr">
        <is>
          <t>Closed</t>
        </is>
      </c>
      <c r="G2" s="27" t="n">
        <v>46336</v>
      </c>
      <c r="H2" s="27" t="n">
        <v>46337</v>
      </c>
      <c r="I2" s="26">
        <f>IF(G2="","",IF(H2="",TODAY()-G2,H2-G2))</f>
        <v/>
      </c>
      <c r="J2" s="26" t="inlineStr">
        <is>
          <t>Idempotency check and insert not in one transaction</t>
        </is>
      </c>
      <c r="K2" s="26" t="inlineStr">
        <is>
          <t>https://github.com/you/repo/pull/57</t>
        </is>
      </c>
      <c r="L2" s="26" t="inlineStr">
        <is>
          <t>Y</t>
        </is>
      </c>
    </row>
    <row r="3">
      <c r="A3" s="31" t="n"/>
      <c r="B3" s="31" t="n"/>
      <c r="C3" s="31" t="n"/>
      <c r="D3" s="31" t="n"/>
      <c r="E3" s="31" t="n"/>
      <c r="F3" s="31" t="n"/>
      <c r="G3" s="34" t="n"/>
      <c r="H3" s="34" t="n"/>
      <c r="I3" s="29">
        <f>IF(G3="","",IF(H3="",TODAY()-G3,H3-G3))</f>
        <v/>
      </c>
      <c r="J3" s="31" t="n"/>
      <c r="K3" s="31" t="n"/>
      <c r="L3" s="31" t="n"/>
    </row>
    <row r="4">
      <c r="A4" s="31" t="n"/>
      <c r="B4" s="31" t="n"/>
      <c r="C4" s="31" t="n"/>
      <c r="D4" s="31" t="n"/>
      <c r="E4" s="31" t="n"/>
      <c r="F4" s="31" t="n"/>
      <c r="G4" s="34" t="n"/>
      <c r="H4" s="34" t="n"/>
      <c r="I4" s="29">
        <f>IF(G4="","",IF(H4="",TODAY()-G4,H4-G4))</f>
        <v/>
      </c>
      <c r="J4" s="31" t="n"/>
      <c r="K4" s="31" t="n"/>
      <c r="L4" s="31" t="n"/>
    </row>
    <row r="5">
      <c r="A5" s="31" t="n"/>
      <c r="B5" s="31" t="n"/>
      <c r="C5" s="31" t="n"/>
      <c r="D5" s="31" t="n"/>
      <c r="E5" s="31" t="n"/>
      <c r="F5" s="31" t="n"/>
      <c r="G5" s="34" t="n"/>
      <c r="H5" s="34" t="n"/>
      <c r="I5" s="29">
        <f>IF(G5="","",IF(H5="",TODAY()-G5,H5-G5))</f>
        <v/>
      </c>
      <c r="J5" s="31" t="n"/>
      <c r="K5" s="31" t="n"/>
      <c r="L5" s="31" t="n"/>
    </row>
    <row r="6">
      <c r="A6" s="31" t="n"/>
      <c r="B6" s="31" t="n"/>
      <c r="C6" s="31" t="n"/>
      <c r="D6" s="31" t="n"/>
      <c r="E6" s="31" t="n"/>
      <c r="F6" s="31" t="n"/>
      <c r="G6" s="34" t="n"/>
      <c r="H6" s="34" t="n"/>
      <c r="I6" s="29">
        <f>IF(G6="","",IF(H6="",TODAY()-G6,H6-G6))</f>
        <v/>
      </c>
      <c r="J6" s="31" t="n"/>
      <c r="K6" s="31" t="n"/>
      <c r="L6" s="31" t="n"/>
    </row>
    <row r="7">
      <c r="A7" s="31" t="n"/>
      <c r="B7" s="31" t="n"/>
      <c r="C7" s="31" t="n"/>
      <c r="D7" s="31" t="n"/>
      <c r="E7" s="31" t="n"/>
      <c r="F7" s="31" t="n"/>
      <c r="G7" s="34" t="n"/>
      <c r="H7" s="34" t="n"/>
      <c r="I7" s="29">
        <f>IF(G7="","",IF(H7="",TODAY()-G7,H7-G7))</f>
        <v/>
      </c>
      <c r="J7" s="31" t="n"/>
      <c r="K7" s="31" t="n"/>
      <c r="L7" s="31" t="n"/>
    </row>
    <row r="8">
      <c r="A8" s="31" t="n"/>
      <c r="B8" s="31" t="n"/>
      <c r="C8" s="31" t="n"/>
      <c r="D8" s="31" t="n"/>
      <c r="E8" s="31" t="n"/>
      <c r="F8" s="31" t="n"/>
      <c r="G8" s="34" t="n"/>
      <c r="H8" s="34" t="n"/>
      <c r="I8" s="29">
        <f>IF(G8="","",IF(H8="",TODAY()-G8,H8-G8))</f>
        <v/>
      </c>
      <c r="J8" s="31" t="n"/>
      <c r="K8" s="31" t="n"/>
      <c r="L8" s="31" t="n"/>
    </row>
    <row r="9">
      <c r="A9" s="31" t="n"/>
      <c r="B9" s="31" t="n"/>
      <c r="C9" s="31" t="n"/>
      <c r="D9" s="31" t="n"/>
      <c r="E9" s="31" t="n"/>
      <c r="F9" s="31" t="n"/>
      <c r="G9" s="34" t="n"/>
      <c r="H9" s="34" t="n"/>
      <c r="I9" s="29">
        <f>IF(G9="","",IF(H9="",TODAY()-G9,H9-G9))</f>
        <v/>
      </c>
      <c r="J9" s="31" t="n"/>
      <c r="K9" s="31" t="n"/>
      <c r="L9" s="31" t="n"/>
    </row>
    <row r="10">
      <c r="A10" s="31" t="n"/>
      <c r="B10" s="31" t="n"/>
      <c r="C10" s="31" t="n"/>
      <c r="D10" s="31" t="n"/>
      <c r="E10" s="31" t="n"/>
      <c r="F10" s="31" t="n"/>
      <c r="G10" s="34" t="n"/>
      <c r="H10" s="34" t="n"/>
      <c r="I10" s="29">
        <f>IF(G10="","",IF(H10="",TODAY()-G10,H10-G10))</f>
        <v/>
      </c>
      <c r="J10" s="31" t="n"/>
      <c r="K10" s="31" t="n"/>
      <c r="L10" s="31" t="n"/>
    </row>
    <row r="11">
      <c r="A11" s="31" t="n"/>
      <c r="B11" s="31" t="n"/>
      <c r="C11" s="31" t="n"/>
      <c r="D11" s="31" t="n"/>
      <c r="E11" s="31" t="n"/>
      <c r="F11" s="31" t="n"/>
      <c r="G11" s="34" t="n"/>
      <c r="H11" s="34" t="n"/>
      <c r="I11" s="29">
        <f>IF(G11="","",IF(H11="",TODAY()-G11,H11-G11))</f>
        <v/>
      </c>
      <c r="J11" s="31" t="n"/>
      <c r="K11" s="31" t="n"/>
      <c r="L11" s="31" t="n"/>
    </row>
    <row r="12">
      <c r="A12" s="31" t="n"/>
      <c r="B12" s="31" t="n"/>
      <c r="C12" s="31" t="n"/>
      <c r="D12" s="31" t="n"/>
      <c r="E12" s="31" t="n"/>
      <c r="F12" s="31" t="n"/>
      <c r="G12" s="34" t="n"/>
      <c r="H12" s="34" t="n"/>
      <c r="I12" s="29">
        <f>IF(G12="","",IF(H12="",TODAY()-G12,H12-G12))</f>
        <v/>
      </c>
      <c r="J12" s="31" t="n"/>
      <c r="K12" s="31" t="n"/>
      <c r="L12" s="31" t="n"/>
    </row>
    <row r="13">
      <c r="A13" s="31" t="n"/>
      <c r="B13" s="31" t="n"/>
      <c r="C13" s="31" t="n"/>
      <c r="D13" s="31" t="n"/>
      <c r="E13" s="31" t="n"/>
      <c r="F13" s="31" t="n"/>
      <c r="G13" s="34" t="n"/>
      <c r="H13" s="34" t="n"/>
      <c r="I13" s="29">
        <f>IF(G13="","",IF(H13="",TODAY()-G13,H13-G13))</f>
        <v/>
      </c>
      <c r="J13" s="31" t="n"/>
      <c r="K13" s="31" t="n"/>
      <c r="L13" s="31" t="n"/>
    </row>
    <row r="14">
      <c r="A14" s="31" t="n"/>
      <c r="B14" s="31" t="n"/>
      <c r="C14" s="31" t="n"/>
      <c r="D14" s="31" t="n"/>
      <c r="E14" s="31" t="n"/>
      <c r="F14" s="31" t="n"/>
      <c r="G14" s="34" t="n"/>
      <c r="H14" s="34" t="n"/>
      <c r="I14" s="29">
        <f>IF(G14="","",IF(H14="",TODAY()-G14,H14-G14))</f>
        <v/>
      </c>
      <c r="J14" s="31" t="n"/>
      <c r="K14" s="31" t="n"/>
      <c r="L14" s="31" t="n"/>
    </row>
    <row r="15">
      <c r="A15" s="31" t="n"/>
      <c r="B15" s="31" t="n"/>
      <c r="C15" s="31" t="n"/>
      <c r="D15" s="31" t="n"/>
      <c r="E15" s="31" t="n"/>
      <c r="F15" s="31" t="n"/>
      <c r="G15" s="34" t="n"/>
      <c r="H15" s="34" t="n"/>
      <c r="I15" s="29">
        <f>IF(G15="","",IF(H15="",TODAY()-G15,H15-G15))</f>
        <v/>
      </c>
      <c r="J15" s="31" t="n"/>
      <c r="K15" s="31" t="n"/>
      <c r="L15" s="31" t="n"/>
    </row>
    <row r="16">
      <c r="A16" s="31" t="n"/>
      <c r="B16" s="31" t="n"/>
      <c r="C16" s="31" t="n"/>
      <c r="D16" s="31" t="n"/>
      <c r="E16" s="31" t="n"/>
      <c r="F16" s="31" t="n"/>
      <c r="G16" s="34" t="n"/>
      <c r="H16" s="34" t="n"/>
      <c r="I16" s="29">
        <f>IF(G16="","",IF(H16="",TODAY()-G16,H16-G16))</f>
        <v/>
      </c>
      <c r="J16" s="31" t="n"/>
      <c r="K16" s="31" t="n"/>
      <c r="L16" s="31" t="n"/>
    </row>
    <row r="17">
      <c r="A17" s="31" t="n"/>
      <c r="B17" s="31" t="n"/>
      <c r="C17" s="31" t="n"/>
      <c r="D17" s="31" t="n"/>
      <c r="E17" s="31" t="n"/>
      <c r="F17" s="31" t="n"/>
      <c r="G17" s="34" t="n"/>
      <c r="H17" s="34" t="n"/>
      <c r="I17" s="29">
        <f>IF(G17="","",IF(H17="",TODAY()-G17,H17-G17))</f>
        <v/>
      </c>
      <c r="J17" s="31" t="n"/>
      <c r="K17" s="31" t="n"/>
      <c r="L17" s="31" t="n"/>
    </row>
    <row r="18">
      <c r="A18" s="31" t="n"/>
      <c r="B18" s="31" t="n"/>
      <c r="C18" s="31" t="n"/>
      <c r="D18" s="31" t="n"/>
      <c r="E18" s="31" t="n"/>
      <c r="F18" s="31" t="n"/>
      <c r="G18" s="34" t="n"/>
      <c r="H18" s="34" t="n"/>
      <c r="I18" s="29">
        <f>IF(G18="","",IF(H18="",TODAY()-G18,H18-G18))</f>
        <v/>
      </c>
      <c r="J18" s="31" t="n"/>
      <c r="K18" s="31" t="n"/>
      <c r="L18" s="31" t="n"/>
    </row>
    <row r="19">
      <c r="A19" s="31" t="n"/>
      <c r="B19" s="31" t="n"/>
      <c r="C19" s="31" t="n"/>
      <c r="D19" s="31" t="n"/>
      <c r="E19" s="31" t="n"/>
      <c r="F19" s="31" t="n"/>
      <c r="G19" s="34" t="n"/>
      <c r="H19" s="34" t="n"/>
      <c r="I19" s="29">
        <f>IF(G19="","",IF(H19="",TODAY()-G19,H19-G19))</f>
        <v/>
      </c>
      <c r="J19" s="31" t="n"/>
      <c r="K19" s="31" t="n"/>
      <c r="L19" s="31" t="n"/>
    </row>
    <row r="20">
      <c r="A20" s="31" t="n"/>
      <c r="B20" s="31" t="n"/>
      <c r="C20" s="31" t="n"/>
      <c r="D20" s="31" t="n"/>
      <c r="E20" s="31" t="n"/>
      <c r="F20" s="31" t="n"/>
      <c r="G20" s="34" t="n"/>
      <c r="H20" s="34" t="n"/>
      <c r="I20" s="29">
        <f>IF(G20="","",IF(H20="",TODAY()-G20,H20-G20))</f>
        <v/>
      </c>
      <c r="J20" s="31" t="n"/>
      <c r="K20" s="31" t="n"/>
      <c r="L20" s="31" t="n"/>
    </row>
    <row r="21">
      <c r="A21" s="31" t="n"/>
      <c r="B21" s="31" t="n"/>
      <c r="C21" s="31" t="n"/>
      <c r="D21" s="31" t="n"/>
      <c r="E21" s="31" t="n"/>
      <c r="F21" s="31" t="n"/>
      <c r="G21" s="34" t="n"/>
      <c r="H21" s="34" t="n"/>
      <c r="I21" s="29">
        <f>IF(G21="","",IF(H21="",TODAY()-G21,H21-G21))</f>
        <v/>
      </c>
      <c r="J21" s="31" t="n"/>
      <c r="K21" s="31" t="n"/>
      <c r="L21" s="31" t="n"/>
    </row>
    <row r="22">
      <c r="A22" s="31" t="n"/>
      <c r="B22" s="31" t="n"/>
      <c r="C22" s="31" t="n"/>
      <c r="D22" s="31" t="n"/>
      <c r="E22" s="31" t="n"/>
      <c r="F22" s="31" t="n"/>
      <c r="G22" s="34" t="n"/>
      <c r="H22" s="34" t="n"/>
      <c r="I22" s="29">
        <f>IF(G22="","",IF(H22="",TODAY()-G22,H22-G22))</f>
        <v/>
      </c>
      <c r="J22" s="31" t="n"/>
      <c r="K22" s="31" t="n"/>
      <c r="L22" s="31" t="n"/>
    </row>
    <row r="23">
      <c r="A23" s="31" t="n"/>
      <c r="B23" s="31" t="n"/>
      <c r="C23" s="31" t="n"/>
      <c r="D23" s="31" t="n"/>
      <c r="E23" s="31" t="n"/>
      <c r="F23" s="31" t="n"/>
      <c r="G23" s="34" t="n"/>
      <c r="H23" s="34" t="n"/>
      <c r="I23" s="29">
        <f>IF(G23="","",IF(H23="",TODAY()-G23,H23-G23))</f>
        <v/>
      </c>
      <c r="J23" s="31" t="n"/>
      <c r="K23" s="31" t="n"/>
      <c r="L23" s="31" t="n"/>
    </row>
    <row r="24">
      <c r="A24" s="31" t="n"/>
      <c r="B24" s="31" t="n"/>
      <c r="C24" s="31" t="n"/>
      <c r="D24" s="31" t="n"/>
      <c r="E24" s="31" t="n"/>
      <c r="F24" s="31" t="n"/>
      <c r="G24" s="34" t="n"/>
      <c r="H24" s="34" t="n"/>
      <c r="I24" s="29">
        <f>IF(G24="","",IF(H24="",TODAY()-G24,H24-G24))</f>
        <v/>
      </c>
      <c r="J24" s="31" t="n"/>
      <c r="K24" s="31" t="n"/>
      <c r="L24" s="31" t="n"/>
    </row>
    <row r="25">
      <c r="A25" s="31" t="n"/>
      <c r="B25" s="31" t="n"/>
      <c r="C25" s="31" t="n"/>
      <c r="D25" s="31" t="n"/>
      <c r="E25" s="31" t="n"/>
      <c r="F25" s="31" t="n"/>
      <c r="G25" s="34" t="n"/>
      <c r="H25" s="34" t="n"/>
      <c r="I25" s="29">
        <f>IF(G25="","",IF(H25="",TODAY()-G25,H25-G25))</f>
        <v/>
      </c>
      <c r="J25" s="31" t="n"/>
      <c r="K25" s="31" t="n"/>
      <c r="L25" s="31" t="n"/>
    </row>
    <row r="26">
      <c r="A26" s="31" t="n"/>
      <c r="B26" s="31" t="n"/>
      <c r="C26" s="31" t="n"/>
      <c r="D26" s="31" t="n"/>
      <c r="E26" s="31" t="n"/>
      <c r="F26" s="31" t="n"/>
      <c r="G26" s="34" t="n"/>
      <c r="H26" s="34" t="n"/>
      <c r="I26" s="29">
        <f>IF(G26="","",IF(H26="",TODAY()-G26,H26-G26))</f>
        <v/>
      </c>
      <c r="J26" s="31" t="n"/>
      <c r="K26" s="31" t="n"/>
      <c r="L26" s="31" t="n"/>
    </row>
    <row r="27">
      <c r="A27" s="31" t="n"/>
      <c r="B27" s="31" t="n"/>
      <c r="C27" s="31" t="n"/>
      <c r="D27" s="31" t="n"/>
      <c r="E27" s="31" t="n"/>
      <c r="F27" s="31" t="n"/>
      <c r="G27" s="34" t="n"/>
      <c r="H27" s="34" t="n"/>
      <c r="I27" s="29">
        <f>IF(G27="","",IF(H27="",TODAY()-G27,H27-G27))</f>
        <v/>
      </c>
      <c r="J27" s="31" t="n"/>
      <c r="K27" s="31" t="n"/>
      <c r="L27" s="31" t="n"/>
    </row>
    <row r="28">
      <c r="A28" s="31" t="n"/>
      <c r="B28" s="31" t="n"/>
      <c r="C28" s="31" t="n"/>
      <c r="D28" s="31" t="n"/>
      <c r="E28" s="31" t="n"/>
      <c r="F28" s="31" t="n"/>
      <c r="G28" s="34" t="n"/>
      <c r="H28" s="34" t="n"/>
      <c r="I28" s="29">
        <f>IF(G28="","",IF(H28="",TODAY()-G28,H28-G28))</f>
        <v/>
      </c>
      <c r="J28" s="31" t="n"/>
      <c r="K28" s="31" t="n"/>
      <c r="L28" s="31" t="n"/>
    </row>
    <row r="29">
      <c r="A29" s="31" t="n"/>
      <c r="B29" s="31" t="n"/>
      <c r="C29" s="31" t="n"/>
      <c r="D29" s="31" t="n"/>
      <c r="E29" s="31" t="n"/>
      <c r="F29" s="31" t="n"/>
      <c r="G29" s="34" t="n"/>
      <c r="H29" s="34" t="n"/>
      <c r="I29" s="29">
        <f>IF(G29="","",IF(H29="",TODAY()-G29,H29-G29))</f>
        <v/>
      </c>
      <c r="J29" s="31" t="n"/>
      <c r="K29" s="31" t="n"/>
      <c r="L29" s="31" t="n"/>
    </row>
    <row r="30">
      <c r="A30" s="31" t="n"/>
      <c r="B30" s="31" t="n"/>
      <c r="C30" s="31" t="n"/>
      <c r="D30" s="31" t="n"/>
      <c r="E30" s="31" t="n"/>
      <c r="F30" s="31" t="n"/>
      <c r="G30" s="34" t="n"/>
      <c r="H30" s="34" t="n"/>
      <c r="I30" s="29">
        <f>IF(G30="","",IF(H30="",TODAY()-G30,H30-G30))</f>
        <v/>
      </c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4" t="n"/>
      <c r="H31" s="34" t="n"/>
      <c r="I31" s="29">
        <f>IF(G31="","",IF(H31="",TODAY()-G31,H31-G31))</f>
        <v/>
      </c>
      <c r="J31" s="31" t="n"/>
      <c r="K31" s="31" t="n"/>
      <c r="L31" s="31" t="n"/>
    </row>
    <row r="32">
      <c r="A32" s="31" t="n"/>
      <c r="B32" s="31" t="n"/>
      <c r="C32" s="31" t="n"/>
      <c r="D32" s="31" t="n"/>
      <c r="E32" s="31" t="n"/>
      <c r="F32" s="31" t="n"/>
      <c r="G32" s="34" t="n"/>
      <c r="H32" s="34" t="n"/>
      <c r="I32" s="29">
        <f>IF(G32="","",IF(H32="",TODAY()-G32,H32-G32))</f>
        <v/>
      </c>
      <c r="J32" s="31" t="n"/>
      <c r="K32" s="31" t="n"/>
      <c r="L32" s="31" t="n"/>
    </row>
    <row r="33">
      <c r="A33" s="31" t="n"/>
      <c r="B33" s="31" t="n"/>
      <c r="C33" s="31" t="n"/>
      <c r="D33" s="31" t="n"/>
      <c r="E33" s="31" t="n"/>
      <c r="F33" s="31" t="n"/>
      <c r="G33" s="34" t="n"/>
      <c r="H33" s="34" t="n"/>
      <c r="I33" s="29">
        <f>IF(G33="","",IF(H33="",TODAY()-G33,H33-G33))</f>
        <v/>
      </c>
      <c r="J33" s="31" t="n"/>
      <c r="K33" s="31" t="n"/>
      <c r="L33" s="31" t="n"/>
    </row>
    <row r="34">
      <c r="A34" s="31" t="n"/>
      <c r="B34" s="31" t="n"/>
      <c r="C34" s="31" t="n"/>
      <c r="D34" s="31" t="n"/>
      <c r="E34" s="31" t="n"/>
      <c r="F34" s="31" t="n"/>
      <c r="G34" s="34" t="n"/>
      <c r="H34" s="34" t="n"/>
      <c r="I34" s="29">
        <f>IF(G34="","",IF(H34="",TODAY()-G34,H34-G34))</f>
        <v/>
      </c>
      <c r="J34" s="31" t="n"/>
      <c r="K34" s="31" t="n"/>
      <c r="L34" s="31" t="n"/>
    </row>
    <row r="35">
      <c r="A35" s="31" t="n"/>
      <c r="B35" s="31" t="n"/>
      <c r="C35" s="31" t="n"/>
      <c r="D35" s="31" t="n"/>
      <c r="E35" s="31" t="n"/>
      <c r="F35" s="31" t="n"/>
      <c r="G35" s="34" t="n"/>
      <c r="H35" s="34" t="n"/>
      <c r="I35" s="29">
        <f>IF(G35="","",IF(H35="",TODAY()-G35,H35-G35))</f>
        <v/>
      </c>
      <c r="J35" s="31" t="n"/>
      <c r="K35" s="31" t="n"/>
      <c r="L35" s="31" t="n"/>
    </row>
    <row r="36">
      <c r="A36" s="31" t="n"/>
      <c r="B36" s="31" t="n"/>
      <c r="C36" s="31" t="n"/>
      <c r="D36" s="31" t="n"/>
      <c r="E36" s="31" t="n"/>
      <c r="F36" s="31" t="n"/>
      <c r="G36" s="34" t="n"/>
      <c r="H36" s="34" t="n"/>
      <c r="I36" s="29">
        <f>IF(G36="","",IF(H36="",TODAY()-G36,H36-G36))</f>
        <v/>
      </c>
      <c r="J36" s="31" t="n"/>
      <c r="K36" s="31" t="n"/>
      <c r="L36" s="31" t="n"/>
    </row>
    <row r="37">
      <c r="A37" s="31" t="n"/>
      <c r="B37" s="31" t="n"/>
      <c r="C37" s="31" t="n"/>
      <c r="D37" s="31" t="n"/>
      <c r="E37" s="31" t="n"/>
      <c r="F37" s="31" t="n"/>
      <c r="G37" s="34" t="n"/>
      <c r="H37" s="34" t="n"/>
      <c r="I37" s="29">
        <f>IF(G37="","",IF(H37="",TODAY()-G37,H37-G37))</f>
        <v/>
      </c>
      <c r="J37" s="31" t="n"/>
      <c r="K37" s="31" t="n"/>
      <c r="L37" s="31" t="n"/>
    </row>
    <row r="38">
      <c r="A38" s="31" t="n"/>
      <c r="B38" s="31" t="n"/>
      <c r="C38" s="31" t="n"/>
      <c r="D38" s="31" t="n"/>
      <c r="E38" s="31" t="n"/>
      <c r="F38" s="31" t="n"/>
      <c r="G38" s="34" t="n"/>
      <c r="H38" s="34" t="n"/>
      <c r="I38" s="29">
        <f>IF(G38="","",IF(H38="",TODAY()-G38,H38-G38))</f>
        <v/>
      </c>
      <c r="J38" s="31" t="n"/>
      <c r="K38" s="31" t="n"/>
      <c r="L38" s="31" t="n"/>
    </row>
    <row r="39">
      <c r="A39" s="31" t="n"/>
      <c r="B39" s="31" t="n"/>
      <c r="C39" s="31" t="n"/>
      <c r="D39" s="31" t="n"/>
      <c r="E39" s="31" t="n"/>
      <c r="F39" s="31" t="n"/>
      <c r="G39" s="34" t="n"/>
      <c r="H39" s="34" t="n"/>
      <c r="I39" s="29">
        <f>IF(G39="","",IF(H39="",TODAY()-G39,H39-G39))</f>
        <v/>
      </c>
      <c r="J39" s="31" t="n"/>
      <c r="K39" s="31" t="n"/>
      <c r="L39" s="31" t="n"/>
    </row>
    <row r="40">
      <c r="A40" s="31" t="n"/>
      <c r="B40" s="31" t="n"/>
      <c r="C40" s="31" t="n"/>
      <c r="D40" s="31" t="n"/>
      <c r="E40" s="31" t="n"/>
      <c r="F40" s="31" t="n"/>
      <c r="G40" s="34" t="n"/>
      <c r="H40" s="34" t="n"/>
      <c r="I40" s="29">
        <f>IF(G40="","",IF(H40="",TODAY()-G40,H40-G40))</f>
        <v/>
      </c>
      <c r="J40" s="31" t="n"/>
      <c r="K40" s="31" t="n"/>
      <c r="L40" s="31" t="n"/>
    </row>
    <row r="41">
      <c r="A41" s="31" t="n"/>
      <c r="B41" s="31" t="n"/>
      <c r="C41" s="31" t="n"/>
      <c r="D41" s="31" t="n"/>
      <c r="E41" s="31" t="n"/>
      <c r="F41" s="31" t="n"/>
      <c r="G41" s="34" t="n"/>
      <c r="H41" s="34" t="n"/>
      <c r="I41" s="29">
        <f>IF(G41="","",IF(H41="",TODAY()-G41,H41-G41))</f>
        <v/>
      </c>
      <c r="J41" s="31" t="n"/>
      <c r="K41" s="31" t="n"/>
      <c r="L41" s="31" t="n"/>
    </row>
    <row r="42">
      <c r="A42" s="31" t="n"/>
      <c r="B42" s="31" t="n"/>
      <c r="C42" s="31" t="n"/>
      <c r="D42" s="31" t="n"/>
      <c r="E42" s="31" t="n"/>
      <c r="F42" s="31" t="n"/>
      <c r="G42" s="34" t="n"/>
      <c r="H42" s="34" t="n"/>
      <c r="I42" s="29">
        <f>IF(G42="","",IF(H42="",TODAY()-G42,H42-G42))</f>
        <v/>
      </c>
      <c r="J42" s="31" t="n"/>
      <c r="K42" s="31" t="n"/>
      <c r="L42" s="31" t="n"/>
    </row>
    <row r="43">
      <c r="A43" s="31" t="n"/>
      <c r="B43" s="31" t="n"/>
      <c r="C43" s="31" t="n"/>
      <c r="D43" s="31" t="n"/>
      <c r="E43" s="31" t="n"/>
      <c r="F43" s="31" t="n"/>
      <c r="G43" s="34" t="n"/>
      <c r="H43" s="34" t="n"/>
      <c r="I43" s="29">
        <f>IF(G43="","",IF(H43="",TODAY()-G43,H43-G43))</f>
        <v/>
      </c>
      <c r="J43" s="31" t="n"/>
      <c r="K43" s="31" t="n"/>
      <c r="L43" s="31" t="n"/>
    </row>
    <row r="44">
      <c r="A44" s="31" t="n"/>
      <c r="B44" s="31" t="n"/>
      <c r="C44" s="31" t="n"/>
      <c r="D44" s="31" t="n"/>
      <c r="E44" s="31" t="n"/>
      <c r="F44" s="31" t="n"/>
      <c r="G44" s="34" t="n"/>
      <c r="H44" s="34" t="n"/>
      <c r="I44" s="29">
        <f>IF(G44="","",IF(H44="",TODAY()-G44,H44-G44))</f>
        <v/>
      </c>
      <c r="J44" s="31" t="n"/>
      <c r="K44" s="31" t="n"/>
      <c r="L44" s="31" t="n"/>
    </row>
    <row r="45">
      <c r="A45" s="31" t="n"/>
      <c r="B45" s="31" t="n"/>
      <c r="C45" s="31" t="n"/>
      <c r="D45" s="31" t="n"/>
      <c r="E45" s="31" t="n"/>
      <c r="F45" s="31" t="n"/>
      <c r="G45" s="34" t="n"/>
      <c r="H45" s="34" t="n"/>
      <c r="I45" s="29">
        <f>IF(G45="","",IF(H45="",TODAY()-G45,H45-G45))</f>
        <v/>
      </c>
      <c r="J45" s="31" t="n"/>
      <c r="K45" s="31" t="n"/>
      <c r="L45" s="31" t="n"/>
    </row>
    <row r="46">
      <c r="A46" s="31" t="n"/>
      <c r="B46" s="31" t="n"/>
      <c r="C46" s="31" t="n"/>
      <c r="D46" s="31" t="n"/>
      <c r="E46" s="31" t="n"/>
      <c r="F46" s="31" t="n"/>
      <c r="G46" s="34" t="n"/>
      <c r="H46" s="34" t="n"/>
      <c r="I46" s="29">
        <f>IF(G46="","",IF(H46="",TODAY()-G46,H46-G46))</f>
        <v/>
      </c>
      <c r="J46" s="31" t="n"/>
      <c r="K46" s="31" t="n"/>
      <c r="L46" s="31" t="n"/>
    </row>
    <row r="47">
      <c r="A47" s="31" t="n"/>
      <c r="B47" s="31" t="n"/>
      <c r="C47" s="31" t="n"/>
      <c r="D47" s="31" t="n"/>
      <c r="E47" s="31" t="n"/>
      <c r="F47" s="31" t="n"/>
      <c r="G47" s="34" t="n"/>
      <c r="H47" s="34" t="n"/>
      <c r="I47" s="29">
        <f>IF(G47="","",IF(H47="",TODAY()-G47,H47-G47))</f>
        <v/>
      </c>
      <c r="J47" s="31" t="n"/>
      <c r="K47" s="31" t="n"/>
      <c r="L47" s="31" t="n"/>
    </row>
    <row r="48">
      <c r="A48" s="31" t="n"/>
      <c r="B48" s="31" t="n"/>
      <c r="C48" s="31" t="n"/>
      <c r="D48" s="31" t="n"/>
      <c r="E48" s="31" t="n"/>
      <c r="F48" s="31" t="n"/>
      <c r="G48" s="34" t="n"/>
      <c r="H48" s="34" t="n"/>
      <c r="I48" s="29">
        <f>IF(G48="","",IF(H48="",TODAY()-G48,H48-G48))</f>
        <v/>
      </c>
      <c r="J48" s="31" t="n"/>
      <c r="K48" s="31" t="n"/>
      <c r="L48" s="31" t="n"/>
    </row>
    <row r="49">
      <c r="A49" s="31" t="n"/>
      <c r="B49" s="31" t="n"/>
      <c r="C49" s="31" t="n"/>
      <c r="D49" s="31" t="n"/>
      <c r="E49" s="31" t="n"/>
      <c r="F49" s="31" t="n"/>
      <c r="G49" s="34" t="n"/>
      <c r="H49" s="34" t="n"/>
      <c r="I49" s="29">
        <f>IF(G49="","",IF(H49="",TODAY()-G49,H49-G49))</f>
        <v/>
      </c>
      <c r="J49" s="31" t="n"/>
      <c r="K49" s="31" t="n"/>
      <c r="L49" s="31" t="n"/>
    </row>
    <row r="50">
      <c r="A50" s="31" t="n"/>
      <c r="B50" s="31" t="n"/>
      <c r="C50" s="31" t="n"/>
      <c r="D50" s="31" t="n"/>
      <c r="E50" s="31" t="n"/>
      <c r="F50" s="31" t="n"/>
      <c r="G50" s="34" t="n"/>
      <c r="H50" s="34" t="n"/>
      <c r="I50" s="29">
        <f>IF(G50="","",IF(H50="",TODAY()-G50,H50-G50))</f>
        <v/>
      </c>
      <c r="J50" s="31" t="n"/>
      <c r="K50" s="31" t="n"/>
      <c r="L50" s="31" t="n"/>
    </row>
    <row r="51">
      <c r="A51" s="31" t="n"/>
      <c r="B51" s="31" t="n"/>
      <c r="C51" s="31" t="n"/>
      <c r="D51" s="31" t="n"/>
      <c r="E51" s="31" t="n"/>
      <c r="F51" s="31" t="n"/>
      <c r="G51" s="34" t="n"/>
      <c r="H51" s="34" t="n"/>
      <c r="I51" s="29">
        <f>IF(G51="","",IF(H51="",TODAY()-G51,H51-G51))</f>
        <v/>
      </c>
      <c r="J51" s="31" t="n"/>
      <c r="K51" s="31" t="n"/>
      <c r="L51" s="31" t="n"/>
    </row>
    <row r="52">
      <c r="A52" s="31" t="n"/>
      <c r="B52" s="31" t="n"/>
      <c r="C52" s="31" t="n"/>
      <c r="D52" s="31" t="n"/>
      <c r="E52" s="31" t="n"/>
      <c r="F52" s="31" t="n"/>
      <c r="G52" s="34" t="n"/>
      <c r="H52" s="34" t="n"/>
      <c r="I52" s="29">
        <f>IF(G52="","",IF(H52="",TODAY()-G52,H52-G52))</f>
        <v/>
      </c>
      <c r="J52" s="31" t="n"/>
      <c r="K52" s="31" t="n"/>
      <c r="L52" s="31" t="n"/>
    </row>
    <row r="53">
      <c r="A53" s="31" t="n"/>
      <c r="B53" s="31" t="n"/>
      <c r="C53" s="31" t="n"/>
      <c r="D53" s="31" t="n"/>
      <c r="E53" s="31" t="n"/>
      <c r="F53" s="31" t="n"/>
      <c r="G53" s="34" t="n"/>
      <c r="H53" s="34" t="n"/>
      <c r="I53" s="29">
        <f>IF(G53="","",IF(H53="",TODAY()-G53,H53-G53))</f>
        <v/>
      </c>
      <c r="J53" s="31" t="n"/>
      <c r="K53" s="31" t="n"/>
      <c r="L53" s="31" t="n"/>
    </row>
    <row r="54">
      <c r="A54" s="31" t="n"/>
      <c r="B54" s="31" t="n"/>
      <c r="C54" s="31" t="n"/>
      <c r="D54" s="31" t="n"/>
      <c r="E54" s="31" t="n"/>
      <c r="F54" s="31" t="n"/>
      <c r="G54" s="34" t="n"/>
      <c r="H54" s="34" t="n"/>
      <c r="I54" s="29">
        <f>IF(G54="","",IF(H54="",TODAY()-G54,H54-G54))</f>
        <v/>
      </c>
      <c r="J54" s="31" t="n"/>
      <c r="K54" s="31" t="n"/>
      <c r="L54" s="31" t="n"/>
    </row>
    <row r="55">
      <c r="A55" s="31" t="n"/>
      <c r="B55" s="31" t="n"/>
      <c r="C55" s="31" t="n"/>
      <c r="D55" s="31" t="n"/>
      <c r="E55" s="31" t="n"/>
      <c r="F55" s="31" t="n"/>
      <c r="G55" s="34" t="n"/>
      <c r="H55" s="34" t="n"/>
      <c r="I55" s="29">
        <f>IF(G55="","",IF(H55="",TODAY()-G55,H55-G55))</f>
        <v/>
      </c>
      <c r="J55" s="31" t="n"/>
      <c r="K55" s="31" t="n"/>
      <c r="L55" s="31" t="n"/>
    </row>
    <row r="56">
      <c r="A56" s="31" t="n"/>
      <c r="B56" s="31" t="n"/>
      <c r="C56" s="31" t="n"/>
      <c r="D56" s="31" t="n"/>
      <c r="E56" s="31" t="n"/>
      <c r="F56" s="31" t="n"/>
      <c r="G56" s="34" t="n"/>
      <c r="H56" s="34" t="n"/>
      <c r="I56" s="29">
        <f>IF(G56="","",IF(H56="",TODAY()-G56,H56-G56))</f>
        <v/>
      </c>
      <c r="J56" s="31" t="n"/>
      <c r="K56" s="31" t="n"/>
      <c r="L56" s="31" t="n"/>
    </row>
    <row r="57">
      <c r="A57" s="31" t="n"/>
      <c r="B57" s="31" t="n"/>
      <c r="C57" s="31" t="n"/>
      <c r="D57" s="31" t="n"/>
      <c r="E57" s="31" t="n"/>
      <c r="F57" s="31" t="n"/>
      <c r="G57" s="34" t="n"/>
      <c r="H57" s="34" t="n"/>
      <c r="I57" s="29">
        <f>IF(G57="","",IF(H57="",TODAY()-G57,H57-G57))</f>
        <v/>
      </c>
      <c r="J57" s="31" t="n"/>
      <c r="K57" s="31" t="n"/>
      <c r="L57" s="31" t="n"/>
    </row>
    <row r="58">
      <c r="A58" s="31" t="n"/>
      <c r="B58" s="31" t="n"/>
      <c r="C58" s="31" t="n"/>
      <c r="D58" s="31" t="n"/>
      <c r="E58" s="31" t="n"/>
      <c r="F58" s="31" t="n"/>
      <c r="G58" s="34" t="n"/>
      <c r="H58" s="34" t="n"/>
      <c r="I58" s="29">
        <f>IF(G58="","",IF(H58="",TODAY()-G58,H58-G58))</f>
        <v/>
      </c>
      <c r="J58" s="31" t="n"/>
      <c r="K58" s="31" t="n"/>
      <c r="L58" s="31" t="n"/>
    </row>
    <row r="59">
      <c r="A59" s="31" t="n"/>
      <c r="B59" s="31" t="n"/>
      <c r="C59" s="31" t="n"/>
      <c r="D59" s="31" t="n"/>
      <c r="E59" s="31" t="n"/>
      <c r="F59" s="31" t="n"/>
      <c r="G59" s="34" t="n"/>
      <c r="H59" s="34" t="n"/>
      <c r="I59" s="29">
        <f>IF(G59="","",IF(H59="",TODAY()-G59,H59-G59))</f>
        <v/>
      </c>
      <c r="J59" s="31" t="n"/>
      <c r="K59" s="31" t="n"/>
      <c r="L59" s="31" t="n"/>
    </row>
    <row r="60">
      <c r="A60" s="31" t="n"/>
      <c r="B60" s="31" t="n"/>
      <c r="C60" s="31" t="n"/>
      <c r="D60" s="31" t="n"/>
      <c r="E60" s="31" t="n"/>
      <c r="F60" s="31" t="n"/>
      <c r="G60" s="34" t="n"/>
      <c r="H60" s="34" t="n"/>
      <c r="I60" s="29">
        <f>IF(G60="","",IF(H60="",TODAY()-G60,H60-G60))</f>
        <v/>
      </c>
      <c r="J60" s="31" t="n"/>
      <c r="K60" s="31" t="n"/>
      <c r="L60" s="31" t="n"/>
    </row>
    <row r="61">
      <c r="A61" s="31" t="n"/>
      <c r="B61" s="31" t="n"/>
      <c r="C61" s="31" t="n"/>
      <c r="D61" s="31" t="n"/>
      <c r="E61" s="31" t="n"/>
      <c r="F61" s="31" t="n"/>
      <c r="G61" s="34" t="n"/>
      <c r="H61" s="34" t="n"/>
      <c r="I61" s="29">
        <f>IF(G61="","",IF(H61="",TODAY()-G61,H61-G61))</f>
        <v/>
      </c>
      <c r="J61" s="31" t="n"/>
      <c r="K61" s="31" t="n"/>
      <c r="L61" s="31" t="n"/>
    </row>
    <row r="62">
      <c r="A62" s="31" t="n"/>
      <c r="B62" s="31" t="n"/>
      <c r="C62" s="31" t="n"/>
      <c r="D62" s="31" t="n"/>
      <c r="E62" s="31" t="n"/>
      <c r="F62" s="31" t="n"/>
      <c r="G62" s="34" t="n"/>
      <c r="H62" s="34" t="n"/>
      <c r="I62" s="29">
        <f>IF(G62="","",IF(H62="",TODAY()-G62,H62-G62))</f>
        <v/>
      </c>
      <c r="J62" s="31" t="n"/>
      <c r="K62" s="31" t="n"/>
      <c r="L62" s="31" t="n"/>
    </row>
    <row r="63">
      <c r="A63" s="31" t="n"/>
      <c r="B63" s="31" t="n"/>
      <c r="C63" s="31" t="n"/>
      <c r="D63" s="31" t="n"/>
      <c r="E63" s="31" t="n"/>
      <c r="F63" s="31" t="n"/>
      <c r="G63" s="34" t="n"/>
      <c r="H63" s="34" t="n"/>
      <c r="I63" s="29">
        <f>IF(G63="","",IF(H63="",TODAY()-G63,H63-G63))</f>
        <v/>
      </c>
      <c r="J63" s="31" t="n"/>
      <c r="K63" s="31" t="n"/>
      <c r="L63" s="31" t="n"/>
    </row>
    <row r="64">
      <c r="A64" s="31" t="n"/>
      <c r="B64" s="31" t="n"/>
      <c r="C64" s="31" t="n"/>
      <c r="D64" s="31" t="n"/>
      <c r="E64" s="31" t="n"/>
      <c r="F64" s="31" t="n"/>
      <c r="G64" s="34" t="n"/>
      <c r="H64" s="34" t="n"/>
      <c r="I64" s="29">
        <f>IF(G64="","",IF(H64="",TODAY()-G64,H64-G64))</f>
        <v/>
      </c>
      <c r="J64" s="31" t="n"/>
      <c r="K64" s="31" t="n"/>
      <c r="L64" s="31" t="n"/>
    </row>
    <row r="65">
      <c r="A65" s="31" t="n"/>
      <c r="B65" s="31" t="n"/>
      <c r="C65" s="31" t="n"/>
      <c r="D65" s="31" t="n"/>
      <c r="E65" s="31" t="n"/>
      <c r="F65" s="31" t="n"/>
      <c r="G65" s="34" t="n"/>
      <c r="H65" s="34" t="n"/>
      <c r="I65" s="29">
        <f>IF(G65="","",IF(H65="",TODAY()-G65,H65-G65))</f>
        <v/>
      </c>
      <c r="J65" s="31" t="n"/>
      <c r="K65" s="31" t="n"/>
      <c r="L65" s="31" t="n"/>
    </row>
    <row r="66">
      <c r="A66" s="31" t="n"/>
      <c r="B66" s="31" t="n"/>
      <c r="C66" s="31" t="n"/>
      <c r="D66" s="31" t="n"/>
      <c r="E66" s="31" t="n"/>
      <c r="F66" s="31" t="n"/>
      <c r="G66" s="34" t="n"/>
      <c r="H66" s="34" t="n"/>
      <c r="I66" s="29">
        <f>IF(G66="","",IF(H66="",TODAY()-G66,H66-G66))</f>
        <v/>
      </c>
      <c r="J66" s="31" t="n"/>
      <c r="K66" s="31" t="n"/>
      <c r="L66" s="31" t="n"/>
    </row>
    <row r="67">
      <c r="A67" s="31" t="n"/>
      <c r="B67" s="31" t="n"/>
      <c r="C67" s="31" t="n"/>
      <c r="D67" s="31" t="n"/>
      <c r="E67" s="31" t="n"/>
      <c r="F67" s="31" t="n"/>
      <c r="G67" s="34" t="n"/>
      <c r="H67" s="34" t="n"/>
      <c r="I67" s="29">
        <f>IF(G67="","",IF(H67="",TODAY()-G67,H67-G67))</f>
        <v/>
      </c>
      <c r="J67" s="31" t="n"/>
      <c r="K67" s="31" t="n"/>
      <c r="L67" s="31" t="n"/>
    </row>
    <row r="68">
      <c r="A68" s="31" t="n"/>
      <c r="B68" s="31" t="n"/>
      <c r="C68" s="31" t="n"/>
      <c r="D68" s="31" t="n"/>
      <c r="E68" s="31" t="n"/>
      <c r="F68" s="31" t="n"/>
      <c r="G68" s="34" t="n"/>
      <c r="H68" s="34" t="n"/>
      <c r="I68" s="29">
        <f>IF(G68="","",IF(H68="",TODAY()-G68,H68-G68))</f>
        <v/>
      </c>
      <c r="J68" s="31" t="n"/>
      <c r="K68" s="31" t="n"/>
      <c r="L68" s="31" t="n"/>
    </row>
    <row r="69">
      <c r="A69" s="31" t="n"/>
      <c r="B69" s="31" t="n"/>
      <c r="C69" s="31" t="n"/>
      <c r="D69" s="31" t="n"/>
      <c r="E69" s="31" t="n"/>
      <c r="F69" s="31" t="n"/>
      <c r="G69" s="34" t="n"/>
      <c r="H69" s="34" t="n"/>
      <c r="I69" s="29">
        <f>IF(G69="","",IF(H69="",TODAY()-G69,H69-G69))</f>
        <v/>
      </c>
      <c r="J69" s="31" t="n"/>
      <c r="K69" s="31" t="n"/>
      <c r="L69" s="31" t="n"/>
    </row>
    <row r="70">
      <c r="A70" s="31" t="n"/>
      <c r="B70" s="31" t="n"/>
      <c r="C70" s="31" t="n"/>
      <c r="D70" s="31" t="n"/>
      <c r="E70" s="31" t="n"/>
      <c r="F70" s="31" t="n"/>
      <c r="G70" s="34" t="n"/>
      <c r="H70" s="34" t="n"/>
      <c r="I70" s="29">
        <f>IF(G70="","",IF(H70="",TODAY()-G70,H70-G70))</f>
        <v/>
      </c>
      <c r="J70" s="31" t="n"/>
      <c r="K70" s="31" t="n"/>
      <c r="L70" s="31" t="n"/>
    </row>
    <row r="71">
      <c r="A71" s="31" t="n"/>
      <c r="B71" s="31" t="n"/>
      <c r="C71" s="31" t="n"/>
      <c r="D71" s="31" t="n"/>
      <c r="E71" s="31" t="n"/>
      <c r="F71" s="31" t="n"/>
      <c r="G71" s="34" t="n"/>
      <c r="H71" s="34" t="n"/>
      <c r="I71" s="29">
        <f>IF(G71="","",IF(H71="",TODAY()-G71,H71-G71))</f>
        <v/>
      </c>
      <c r="J71" s="31" t="n"/>
      <c r="K71" s="31" t="n"/>
      <c r="L71" s="31" t="n"/>
    </row>
    <row r="72">
      <c r="A72" s="31" t="n"/>
      <c r="B72" s="31" t="n"/>
      <c r="C72" s="31" t="n"/>
      <c r="D72" s="31" t="n"/>
      <c r="E72" s="31" t="n"/>
      <c r="F72" s="31" t="n"/>
      <c r="G72" s="34" t="n"/>
      <c r="H72" s="34" t="n"/>
      <c r="I72" s="29">
        <f>IF(G72="","",IF(H72="",TODAY()-G72,H72-G72))</f>
        <v/>
      </c>
      <c r="J72" s="31" t="n"/>
      <c r="K72" s="31" t="n"/>
      <c r="L72" s="31" t="n"/>
    </row>
    <row r="73">
      <c r="A73" s="31" t="n"/>
      <c r="B73" s="31" t="n"/>
      <c r="C73" s="31" t="n"/>
      <c r="D73" s="31" t="n"/>
      <c r="E73" s="31" t="n"/>
      <c r="F73" s="31" t="n"/>
      <c r="G73" s="34" t="n"/>
      <c r="H73" s="34" t="n"/>
      <c r="I73" s="29">
        <f>IF(G73="","",IF(H73="",TODAY()-G73,H73-G73))</f>
        <v/>
      </c>
      <c r="J73" s="31" t="n"/>
      <c r="K73" s="31" t="n"/>
      <c r="L73" s="31" t="n"/>
    </row>
    <row r="74">
      <c r="A74" s="31" t="n"/>
      <c r="B74" s="31" t="n"/>
      <c r="C74" s="31" t="n"/>
      <c r="D74" s="31" t="n"/>
      <c r="E74" s="31" t="n"/>
      <c r="F74" s="31" t="n"/>
      <c r="G74" s="34" t="n"/>
      <c r="H74" s="34" t="n"/>
      <c r="I74" s="29">
        <f>IF(G74="","",IF(H74="",TODAY()-G74,H74-G74))</f>
        <v/>
      </c>
      <c r="J74" s="31" t="n"/>
      <c r="K74" s="31" t="n"/>
      <c r="L74" s="31" t="n"/>
    </row>
    <row r="75">
      <c r="A75" s="31" t="n"/>
      <c r="B75" s="31" t="n"/>
      <c r="C75" s="31" t="n"/>
      <c r="D75" s="31" t="n"/>
      <c r="E75" s="31" t="n"/>
      <c r="F75" s="31" t="n"/>
      <c r="G75" s="34" t="n"/>
      <c r="H75" s="34" t="n"/>
      <c r="I75" s="29">
        <f>IF(G75="","",IF(H75="",TODAY()-G75,H75-G75))</f>
        <v/>
      </c>
      <c r="J75" s="31" t="n"/>
      <c r="K75" s="31" t="n"/>
      <c r="L75" s="31" t="n"/>
    </row>
    <row r="76">
      <c r="A76" s="31" t="n"/>
      <c r="B76" s="31" t="n"/>
      <c r="C76" s="31" t="n"/>
      <c r="D76" s="31" t="n"/>
      <c r="E76" s="31" t="n"/>
      <c r="F76" s="31" t="n"/>
      <c r="G76" s="34" t="n"/>
      <c r="H76" s="34" t="n"/>
      <c r="I76" s="29">
        <f>IF(G76="","",IF(H76="",TODAY()-G76,H76-G76))</f>
        <v/>
      </c>
      <c r="J76" s="31" t="n"/>
      <c r="K76" s="31" t="n"/>
      <c r="L76" s="31" t="n"/>
    </row>
    <row r="77">
      <c r="A77" s="31" t="n"/>
      <c r="B77" s="31" t="n"/>
      <c r="C77" s="31" t="n"/>
      <c r="D77" s="31" t="n"/>
      <c r="E77" s="31" t="n"/>
      <c r="F77" s="31" t="n"/>
      <c r="G77" s="34" t="n"/>
      <c r="H77" s="34" t="n"/>
      <c r="I77" s="29">
        <f>IF(G77="","",IF(H77="",TODAY()-G77,H77-G77))</f>
        <v/>
      </c>
      <c r="J77" s="31" t="n"/>
      <c r="K77" s="31" t="n"/>
      <c r="L77" s="31" t="n"/>
    </row>
    <row r="78">
      <c r="A78" s="31" t="n"/>
      <c r="B78" s="31" t="n"/>
      <c r="C78" s="31" t="n"/>
      <c r="D78" s="31" t="n"/>
      <c r="E78" s="31" t="n"/>
      <c r="F78" s="31" t="n"/>
      <c r="G78" s="34" t="n"/>
      <c r="H78" s="34" t="n"/>
      <c r="I78" s="29">
        <f>IF(G78="","",IF(H78="",TODAY()-G78,H78-G78))</f>
        <v/>
      </c>
      <c r="J78" s="31" t="n"/>
      <c r="K78" s="31" t="n"/>
      <c r="L78" s="31" t="n"/>
    </row>
    <row r="79">
      <c r="A79" s="31" t="n"/>
      <c r="B79" s="31" t="n"/>
      <c r="C79" s="31" t="n"/>
      <c r="D79" s="31" t="n"/>
      <c r="E79" s="31" t="n"/>
      <c r="F79" s="31" t="n"/>
      <c r="G79" s="34" t="n"/>
      <c r="H79" s="34" t="n"/>
      <c r="I79" s="29">
        <f>IF(G79="","",IF(H79="",TODAY()-G79,H79-G79))</f>
        <v/>
      </c>
      <c r="J79" s="31" t="n"/>
      <c r="K79" s="31" t="n"/>
      <c r="L79" s="31" t="n"/>
    </row>
    <row r="80">
      <c r="A80" s="31" t="n"/>
      <c r="B80" s="31" t="n"/>
      <c r="C80" s="31" t="n"/>
      <c r="D80" s="31" t="n"/>
      <c r="E80" s="31" t="n"/>
      <c r="F80" s="31" t="n"/>
      <c r="G80" s="34" t="n"/>
      <c r="H80" s="34" t="n"/>
      <c r="I80" s="29">
        <f>IF(G80="","",IF(H80="",TODAY()-G80,H80-G80))</f>
        <v/>
      </c>
      <c r="J80" s="31" t="n"/>
      <c r="K80" s="31" t="n"/>
      <c r="L80" s="31" t="n"/>
    </row>
    <row r="81">
      <c r="A81" s="31" t="n"/>
      <c r="B81" s="31" t="n"/>
      <c r="C81" s="31" t="n"/>
      <c r="D81" s="31" t="n"/>
      <c r="E81" s="31" t="n"/>
      <c r="F81" s="31" t="n"/>
      <c r="G81" s="34" t="n"/>
      <c r="H81" s="34" t="n"/>
      <c r="I81" s="29">
        <f>IF(G81="","",IF(H81="",TODAY()-G81,H81-G81))</f>
        <v/>
      </c>
      <c r="J81" s="31" t="n"/>
      <c r="K81" s="31" t="n"/>
      <c r="L81" s="31" t="n"/>
    </row>
    <row r="82">
      <c r="A82" s="31" t="n"/>
      <c r="B82" s="31" t="n"/>
      <c r="C82" s="31" t="n"/>
      <c r="D82" s="31" t="n"/>
      <c r="E82" s="31" t="n"/>
      <c r="F82" s="31" t="n"/>
      <c r="G82" s="34" t="n"/>
      <c r="H82" s="34" t="n"/>
      <c r="I82" s="29">
        <f>IF(G82="","",IF(H82="",TODAY()-G82,H82-G82))</f>
        <v/>
      </c>
      <c r="J82" s="31" t="n"/>
      <c r="K82" s="31" t="n"/>
      <c r="L82" s="31" t="n"/>
    </row>
    <row r="83">
      <c r="A83" s="31" t="n"/>
      <c r="B83" s="31" t="n"/>
      <c r="C83" s="31" t="n"/>
      <c r="D83" s="31" t="n"/>
      <c r="E83" s="31" t="n"/>
      <c r="F83" s="31" t="n"/>
      <c r="G83" s="34" t="n"/>
      <c r="H83" s="34" t="n"/>
      <c r="I83" s="29">
        <f>IF(G83="","",IF(H83="",TODAY()-G83,H83-G83))</f>
        <v/>
      </c>
      <c r="J83" s="31" t="n"/>
      <c r="K83" s="31" t="n"/>
      <c r="L83" s="31" t="n"/>
    </row>
    <row r="84">
      <c r="A84" s="31" t="n"/>
      <c r="B84" s="31" t="n"/>
      <c r="C84" s="31" t="n"/>
      <c r="D84" s="31" t="n"/>
      <c r="E84" s="31" t="n"/>
      <c r="F84" s="31" t="n"/>
      <c r="G84" s="34" t="n"/>
      <c r="H84" s="34" t="n"/>
      <c r="I84" s="29">
        <f>IF(G84="","",IF(H84="",TODAY()-G84,H84-G84))</f>
        <v/>
      </c>
      <c r="J84" s="31" t="n"/>
      <c r="K84" s="31" t="n"/>
      <c r="L84" s="31" t="n"/>
    </row>
    <row r="85">
      <c r="A85" s="31" t="n"/>
      <c r="B85" s="31" t="n"/>
      <c r="C85" s="31" t="n"/>
      <c r="D85" s="31" t="n"/>
      <c r="E85" s="31" t="n"/>
      <c r="F85" s="31" t="n"/>
      <c r="G85" s="34" t="n"/>
      <c r="H85" s="34" t="n"/>
      <c r="I85" s="29">
        <f>IF(G85="","",IF(H85="",TODAY()-G85,H85-G85))</f>
        <v/>
      </c>
      <c r="J85" s="31" t="n"/>
      <c r="K85" s="31" t="n"/>
      <c r="L85" s="31" t="n"/>
    </row>
    <row r="86">
      <c r="A86" s="31" t="n"/>
      <c r="B86" s="31" t="n"/>
      <c r="C86" s="31" t="n"/>
      <c r="D86" s="31" t="n"/>
      <c r="E86" s="31" t="n"/>
      <c r="F86" s="31" t="n"/>
      <c r="G86" s="34" t="n"/>
      <c r="H86" s="34" t="n"/>
      <c r="I86" s="29">
        <f>IF(G86="","",IF(H86="",TODAY()-G86,H86-G86))</f>
        <v/>
      </c>
      <c r="J86" s="31" t="n"/>
      <c r="K86" s="31" t="n"/>
      <c r="L86" s="31" t="n"/>
    </row>
    <row r="87">
      <c r="A87" s="31" t="n"/>
      <c r="B87" s="31" t="n"/>
      <c r="C87" s="31" t="n"/>
      <c r="D87" s="31" t="n"/>
      <c r="E87" s="31" t="n"/>
      <c r="F87" s="31" t="n"/>
      <c r="G87" s="34" t="n"/>
      <c r="H87" s="34" t="n"/>
      <c r="I87" s="29">
        <f>IF(G87="","",IF(H87="",TODAY()-G87,H87-G87))</f>
        <v/>
      </c>
      <c r="J87" s="31" t="n"/>
      <c r="K87" s="31" t="n"/>
      <c r="L87" s="31" t="n"/>
    </row>
    <row r="88">
      <c r="A88" s="31" t="n"/>
      <c r="B88" s="31" t="n"/>
      <c r="C88" s="31" t="n"/>
      <c r="D88" s="31" t="n"/>
      <c r="E88" s="31" t="n"/>
      <c r="F88" s="31" t="n"/>
      <c r="G88" s="34" t="n"/>
      <c r="H88" s="34" t="n"/>
      <c r="I88" s="29">
        <f>IF(G88="","",IF(H88="",TODAY()-G88,H88-G88))</f>
        <v/>
      </c>
      <c r="J88" s="31" t="n"/>
      <c r="K88" s="31" t="n"/>
      <c r="L88" s="31" t="n"/>
    </row>
    <row r="89">
      <c r="A89" s="31" t="n"/>
      <c r="B89" s="31" t="n"/>
      <c r="C89" s="31" t="n"/>
      <c r="D89" s="31" t="n"/>
      <c r="E89" s="31" t="n"/>
      <c r="F89" s="31" t="n"/>
      <c r="G89" s="34" t="n"/>
      <c r="H89" s="34" t="n"/>
      <c r="I89" s="29">
        <f>IF(G89="","",IF(H89="",TODAY()-G89,H89-G89))</f>
        <v/>
      </c>
      <c r="J89" s="31" t="n"/>
      <c r="K89" s="31" t="n"/>
      <c r="L89" s="31" t="n"/>
    </row>
    <row r="90">
      <c r="A90" s="31" t="n"/>
      <c r="B90" s="31" t="n"/>
      <c r="C90" s="31" t="n"/>
      <c r="D90" s="31" t="n"/>
      <c r="E90" s="31" t="n"/>
      <c r="F90" s="31" t="n"/>
      <c r="G90" s="34" t="n"/>
      <c r="H90" s="34" t="n"/>
      <c r="I90" s="29">
        <f>IF(G90="","",IF(H90="",TODAY()-G90,H90-G90))</f>
        <v/>
      </c>
      <c r="J90" s="31" t="n"/>
      <c r="K90" s="31" t="n"/>
      <c r="L90" s="31" t="n"/>
    </row>
    <row r="91">
      <c r="A91" s="31" t="n"/>
      <c r="B91" s="31" t="n"/>
      <c r="C91" s="31" t="n"/>
      <c r="D91" s="31" t="n"/>
      <c r="E91" s="31" t="n"/>
      <c r="F91" s="31" t="n"/>
      <c r="G91" s="34" t="n"/>
      <c r="H91" s="34" t="n"/>
      <c r="I91" s="29">
        <f>IF(G91="","",IF(H91="",TODAY()-G91,H91-G91))</f>
        <v/>
      </c>
      <c r="J91" s="31" t="n"/>
      <c r="K91" s="31" t="n"/>
      <c r="L91" s="31" t="n"/>
    </row>
    <row r="92">
      <c r="A92" s="31" t="n"/>
      <c r="B92" s="31" t="n"/>
      <c r="C92" s="31" t="n"/>
      <c r="D92" s="31" t="n"/>
      <c r="E92" s="31" t="n"/>
      <c r="F92" s="31" t="n"/>
      <c r="G92" s="34" t="n"/>
      <c r="H92" s="34" t="n"/>
      <c r="I92" s="29">
        <f>IF(G92="","",IF(H92="",TODAY()-G92,H92-G92))</f>
        <v/>
      </c>
      <c r="J92" s="31" t="n"/>
      <c r="K92" s="31" t="n"/>
      <c r="L92" s="31" t="n"/>
    </row>
    <row r="93">
      <c r="A93" s="31" t="n"/>
      <c r="B93" s="31" t="n"/>
      <c r="C93" s="31" t="n"/>
      <c r="D93" s="31" t="n"/>
      <c r="E93" s="31" t="n"/>
      <c r="F93" s="31" t="n"/>
      <c r="G93" s="34" t="n"/>
      <c r="H93" s="34" t="n"/>
      <c r="I93" s="29">
        <f>IF(G93="","",IF(H93="",TODAY()-G93,H93-G93))</f>
        <v/>
      </c>
      <c r="J93" s="31" t="n"/>
      <c r="K93" s="31" t="n"/>
      <c r="L93" s="31" t="n"/>
    </row>
    <row r="94">
      <c r="A94" s="31" t="n"/>
      <c r="B94" s="31" t="n"/>
      <c r="C94" s="31" t="n"/>
      <c r="D94" s="31" t="n"/>
      <c r="E94" s="31" t="n"/>
      <c r="F94" s="31" t="n"/>
      <c r="G94" s="34" t="n"/>
      <c r="H94" s="34" t="n"/>
      <c r="I94" s="29">
        <f>IF(G94="","",IF(H94="",TODAY()-G94,H94-G94))</f>
        <v/>
      </c>
      <c r="J94" s="31" t="n"/>
      <c r="K94" s="31" t="n"/>
      <c r="L94" s="31" t="n"/>
    </row>
    <row r="95">
      <c r="A95" s="31" t="n"/>
      <c r="B95" s="31" t="n"/>
      <c r="C95" s="31" t="n"/>
      <c r="D95" s="31" t="n"/>
      <c r="E95" s="31" t="n"/>
      <c r="F95" s="31" t="n"/>
      <c r="G95" s="34" t="n"/>
      <c r="H95" s="34" t="n"/>
      <c r="I95" s="29">
        <f>IF(G95="","",IF(H95="",TODAY()-G95,H95-G95))</f>
        <v/>
      </c>
      <c r="J95" s="31" t="n"/>
      <c r="K95" s="31" t="n"/>
      <c r="L95" s="31" t="n"/>
    </row>
    <row r="96">
      <c r="A96" s="31" t="n"/>
      <c r="B96" s="31" t="n"/>
      <c r="C96" s="31" t="n"/>
      <c r="D96" s="31" t="n"/>
      <c r="E96" s="31" t="n"/>
      <c r="F96" s="31" t="n"/>
      <c r="G96" s="34" t="n"/>
      <c r="H96" s="34" t="n"/>
      <c r="I96" s="29">
        <f>IF(G96="","",IF(H96="",TODAY()-G96,H96-G96))</f>
        <v/>
      </c>
      <c r="J96" s="31" t="n"/>
      <c r="K96" s="31" t="n"/>
      <c r="L96" s="31" t="n"/>
    </row>
    <row r="97">
      <c r="A97" s="31" t="n"/>
      <c r="B97" s="31" t="n"/>
      <c r="C97" s="31" t="n"/>
      <c r="D97" s="31" t="n"/>
      <c r="E97" s="31" t="n"/>
      <c r="F97" s="31" t="n"/>
      <c r="G97" s="34" t="n"/>
      <c r="H97" s="34" t="n"/>
      <c r="I97" s="29">
        <f>IF(G97="","",IF(H97="",TODAY()-G97,H97-G97))</f>
        <v/>
      </c>
      <c r="J97" s="31" t="n"/>
      <c r="K97" s="31" t="n"/>
      <c r="L97" s="31" t="n"/>
    </row>
    <row r="98">
      <c r="A98" s="31" t="n"/>
      <c r="B98" s="31" t="n"/>
      <c r="C98" s="31" t="n"/>
      <c r="D98" s="31" t="n"/>
      <c r="E98" s="31" t="n"/>
      <c r="F98" s="31" t="n"/>
      <c r="G98" s="34" t="n"/>
      <c r="H98" s="34" t="n"/>
      <c r="I98" s="29">
        <f>IF(G98="","",IF(H98="",TODAY()-G98,H98-G98))</f>
        <v/>
      </c>
      <c r="J98" s="31" t="n"/>
      <c r="K98" s="31" t="n"/>
      <c r="L98" s="31" t="n"/>
    </row>
    <row r="99">
      <c r="A99" s="31" t="n"/>
      <c r="B99" s="31" t="n"/>
      <c r="C99" s="31" t="n"/>
      <c r="D99" s="31" t="n"/>
      <c r="E99" s="31" t="n"/>
      <c r="F99" s="31" t="n"/>
      <c r="G99" s="34" t="n"/>
      <c r="H99" s="34" t="n"/>
      <c r="I99" s="29">
        <f>IF(G99="","",IF(H99="",TODAY()-G99,H99-G99))</f>
        <v/>
      </c>
      <c r="J99" s="31" t="n"/>
      <c r="K99" s="31" t="n"/>
      <c r="L99" s="31" t="n"/>
    </row>
    <row r="100">
      <c r="A100" s="31" t="n"/>
      <c r="B100" s="31" t="n"/>
      <c r="C100" s="31" t="n"/>
      <c r="D100" s="31" t="n"/>
      <c r="E100" s="31" t="n"/>
      <c r="F100" s="31" t="n"/>
      <c r="G100" s="34" t="n"/>
      <c r="H100" s="34" t="n"/>
      <c r="I100" s="29">
        <f>IF(G100="","",IF(H100="",TODAY()-G100,H100-G100))</f>
        <v/>
      </c>
      <c r="J100" s="31" t="n"/>
      <c r="K100" s="31" t="n"/>
      <c r="L100" s="31" t="n"/>
    </row>
    <row r="101">
      <c r="A101" s="31" t="n"/>
      <c r="B101" s="31" t="n"/>
      <c r="C101" s="31" t="n"/>
      <c r="D101" s="31" t="n"/>
      <c r="E101" s="31" t="n"/>
      <c r="F101" s="31" t="n"/>
      <c r="G101" s="34" t="n"/>
      <c r="H101" s="34" t="n"/>
      <c r="I101" s="29">
        <f>IF(G101="","",IF(H101="",TODAY()-G101,H101-G101))</f>
        <v/>
      </c>
      <c r="J101" s="31" t="n"/>
      <c r="K101" s="31" t="n"/>
      <c r="L101" s="31" t="n"/>
    </row>
  </sheetData>
  <autoFilter ref="A1:L600"/>
  <conditionalFormatting sqref="F2:F600">
    <cfRule type="expression" priority="1" dxfId="2">
      <formula>$F2="Open"</formula>
    </cfRule>
    <cfRule type="expression" priority="2" dxfId="1">
      <formula>$F2="In Progress"</formula>
    </cfRule>
    <cfRule type="expression" priority="3" dxfId="3">
      <formula>$F2="Fixed"</formula>
    </cfRule>
    <cfRule type="expression" priority="4" dxfId="0">
      <formula>$F2="Closed"</formula>
    </cfRule>
  </conditionalFormatting>
  <dataValidations count="4">
    <dataValidation sqref="D2:D600" showDropDown="0" showInputMessage="0" showErrorMessage="0" allowBlank="1" type="list">
      <formula1>"S1-Critical,S2-High,S3-Medium,S4-Low"</formula1>
    </dataValidation>
    <dataValidation sqref="F2:F600" showDropDown="0" showInputMessage="0" showErrorMessage="0" allowBlank="1" type="list">
      <formula1>"Open,In Progress,Fixed,Closed,Won't Fix"</formula1>
    </dataValidation>
    <dataValidation sqref="B2:B600" showDropDown="0" showInputMessage="0" showErrorMessage="0" allowBlank="1" type="list">
      <formula1>"Platform,Product,EXAMPLE"</formula1>
    </dataValidation>
    <dataValidation sqref="L2:L6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4" customWidth="1" min="8" max="8"/>
    <col width="30" customWidth="1" min="9" max="9"/>
    <col width="30" customWidth="1" min="10" max="10"/>
    <col width="28" customWidth="1" min="11" max="11"/>
  </cols>
  <sheetData>
    <row r="1" ht="32" customHeight="1">
      <c r="A1" s="11" t="inlineStr">
        <is>
          <t>Week #</t>
        </is>
      </c>
      <c r="B1" s="11" t="inlineStr">
        <is>
          <t>Week Start</t>
        </is>
      </c>
      <c r="C1" s="11" t="inlineStr">
        <is>
          <t>Focus Track</t>
        </is>
      </c>
      <c r="D1" s="11" t="inlineStr">
        <is>
          <t>Planned Tasks</t>
        </is>
      </c>
      <c r="E1" s="11" t="inlineStr">
        <is>
          <t>Tasks Done</t>
        </is>
      </c>
      <c r="F1" s="11" t="inlineStr">
        <is>
          <t>Planned Hours</t>
        </is>
      </c>
      <c r="G1" s="11" t="inlineStr">
        <is>
          <t>Hours Logged (input)</t>
        </is>
      </c>
      <c r="H1" s="11" t="inlineStr">
        <is>
          <t>Wins / Demo</t>
        </is>
      </c>
      <c r="I1" s="11" t="inlineStr">
        <is>
          <t>Blockers</t>
        </is>
      </c>
      <c r="J1" s="11" t="inlineStr">
        <is>
          <t>Learnings</t>
        </is>
      </c>
      <c r="K1" s="11" t="inlineStr">
        <is>
          <t>Evidence Link</t>
        </is>
      </c>
    </row>
    <row r="2">
      <c r="A2" s="29" t="n">
        <v>1</v>
      </c>
      <c r="B2" s="30">
        <f>README!$C$6+(A2-1)*7</f>
        <v/>
      </c>
      <c r="C2" s="29" t="inlineStr">
        <is>
          <t>Platform</t>
        </is>
      </c>
      <c r="D2" s="29">
        <f>COUNTIF(Plan!$H$2:$H$600,A2)</f>
        <v/>
      </c>
      <c r="E2" s="29">
        <f>COUNTIFS(Plan!$H$2:$H$600,A2,Plan!$K$2:$K$600,"Done")</f>
        <v/>
      </c>
      <c r="F2" s="29">
        <f>SUMIF(Plan!$H$2:$H$600,A2,Plan!$G$2:$G$600)</f>
        <v/>
      </c>
      <c r="G2" s="31" t="n"/>
      <c r="H2" s="31" t="n"/>
      <c r="I2" s="31" t="n"/>
      <c r="J2" s="31" t="n"/>
      <c r="K2" s="31" t="n"/>
    </row>
    <row r="3">
      <c r="A3" s="29" t="n">
        <v>2</v>
      </c>
      <c r="B3" s="30">
        <f>README!$C$6+(A3-1)*7</f>
        <v/>
      </c>
      <c r="C3" s="29" t="inlineStr">
        <is>
          <t>Platform</t>
        </is>
      </c>
      <c r="D3" s="29">
        <f>COUNTIF(Plan!$H$2:$H$600,A3)</f>
        <v/>
      </c>
      <c r="E3" s="29">
        <f>COUNTIFS(Plan!$H$2:$H$600,A3,Plan!$K$2:$K$600,"Done")</f>
        <v/>
      </c>
      <c r="F3" s="29">
        <f>SUMIF(Plan!$H$2:$H$600,A3,Plan!$G$2:$G$600)</f>
        <v/>
      </c>
      <c r="G3" s="31" t="n"/>
      <c r="H3" s="31" t="n"/>
      <c r="I3" s="31" t="n"/>
      <c r="J3" s="31" t="n"/>
      <c r="K3" s="31" t="n"/>
    </row>
    <row r="4">
      <c r="A4" s="29" t="n">
        <v>3</v>
      </c>
      <c r="B4" s="30">
        <f>README!$C$6+(A4-1)*7</f>
        <v/>
      </c>
      <c r="C4" s="29" t="inlineStr">
        <is>
          <t>Platform</t>
        </is>
      </c>
      <c r="D4" s="29">
        <f>COUNTIF(Plan!$H$2:$H$600,A4)</f>
        <v/>
      </c>
      <c r="E4" s="29">
        <f>COUNTIFS(Plan!$H$2:$H$600,A4,Plan!$K$2:$K$600,"Done")</f>
        <v/>
      </c>
      <c r="F4" s="29">
        <f>SUMIF(Plan!$H$2:$H$600,A4,Plan!$G$2:$G$600)</f>
        <v/>
      </c>
      <c r="G4" s="31" t="n"/>
      <c r="H4" s="31" t="n"/>
      <c r="I4" s="31" t="n"/>
      <c r="J4" s="31" t="n"/>
      <c r="K4" s="31" t="n"/>
    </row>
    <row r="5">
      <c r="A5" s="29" t="n">
        <v>4</v>
      </c>
      <c r="B5" s="30">
        <f>README!$C$6+(A5-1)*7</f>
        <v/>
      </c>
      <c r="C5" s="29" t="inlineStr">
        <is>
          <t>Platform</t>
        </is>
      </c>
      <c r="D5" s="29">
        <f>COUNTIF(Plan!$H$2:$H$600,A5)</f>
        <v/>
      </c>
      <c r="E5" s="29">
        <f>COUNTIFS(Plan!$H$2:$H$600,A5,Plan!$K$2:$K$600,"Done")</f>
        <v/>
      </c>
      <c r="F5" s="29">
        <f>SUMIF(Plan!$H$2:$H$600,A5,Plan!$G$2:$G$600)</f>
        <v/>
      </c>
      <c r="G5" s="31" t="n"/>
      <c r="H5" s="31" t="n"/>
      <c r="I5" s="31" t="n"/>
      <c r="J5" s="31" t="n"/>
      <c r="K5" s="31" t="n"/>
    </row>
    <row r="6">
      <c r="A6" s="29" t="n">
        <v>5</v>
      </c>
      <c r="B6" s="30">
        <f>README!$C$6+(A6-1)*7</f>
        <v/>
      </c>
      <c r="C6" s="29" t="inlineStr">
        <is>
          <t>Product</t>
        </is>
      </c>
      <c r="D6" s="29">
        <f>COUNTIF(Plan!$H$2:$H$600,A6)</f>
        <v/>
      </c>
      <c r="E6" s="29">
        <f>COUNTIFS(Plan!$H$2:$H$600,A6,Plan!$K$2:$K$600,"Done")</f>
        <v/>
      </c>
      <c r="F6" s="29">
        <f>SUMIF(Plan!$H$2:$H$600,A6,Plan!$G$2:$G$600)</f>
        <v/>
      </c>
      <c r="G6" s="31" t="n"/>
      <c r="H6" s="31" t="n"/>
      <c r="I6" s="31" t="n"/>
      <c r="J6" s="31" t="n"/>
      <c r="K6" s="31" t="n"/>
    </row>
    <row r="7">
      <c r="A7" s="29" t="n">
        <v>6</v>
      </c>
      <c r="B7" s="30">
        <f>README!$C$6+(A7-1)*7</f>
        <v/>
      </c>
      <c r="C7" s="29" t="inlineStr">
        <is>
          <t>Product</t>
        </is>
      </c>
      <c r="D7" s="29">
        <f>COUNTIF(Plan!$H$2:$H$600,A7)</f>
        <v/>
      </c>
      <c r="E7" s="29">
        <f>COUNTIFS(Plan!$H$2:$H$600,A7,Plan!$K$2:$K$600,"Done")</f>
        <v/>
      </c>
      <c r="F7" s="29">
        <f>SUMIF(Plan!$H$2:$H$600,A7,Plan!$G$2:$G$600)</f>
        <v/>
      </c>
      <c r="G7" s="31" t="n"/>
      <c r="H7" s="31" t="n"/>
      <c r="I7" s="31" t="n"/>
      <c r="J7" s="31" t="n"/>
      <c r="K7" s="31" t="n"/>
    </row>
    <row r="8">
      <c r="A8" s="29" t="n">
        <v>7</v>
      </c>
      <c r="B8" s="30">
        <f>README!$C$6+(A8-1)*7</f>
        <v/>
      </c>
      <c r="C8" s="29" t="inlineStr">
        <is>
          <t>Product</t>
        </is>
      </c>
      <c r="D8" s="29">
        <f>COUNTIF(Plan!$H$2:$H$600,A8)</f>
        <v/>
      </c>
      <c r="E8" s="29">
        <f>COUNTIFS(Plan!$H$2:$H$600,A8,Plan!$K$2:$K$600,"Done")</f>
        <v/>
      </c>
      <c r="F8" s="29">
        <f>SUMIF(Plan!$H$2:$H$600,A8,Plan!$G$2:$G$600)</f>
        <v/>
      </c>
      <c r="G8" s="31" t="n"/>
      <c r="H8" s="31" t="n"/>
      <c r="I8" s="31" t="n"/>
      <c r="J8" s="31" t="n"/>
      <c r="K8" s="31" t="n"/>
    </row>
    <row r="9">
      <c r="A9" s="29" t="n">
        <v>8</v>
      </c>
      <c r="B9" s="30">
        <f>README!$C$6+(A9-1)*7</f>
        <v/>
      </c>
      <c r="C9" s="29" t="inlineStr">
        <is>
          <t>Product</t>
        </is>
      </c>
      <c r="D9" s="29">
        <f>COUNTIF(Plan!$H$2:$H$600,A9)</f>
        <v/>
      </c>
      <c r="E9" s="29">
        <f>COUNTIFS(Plan!$H$2:$H$600,A9,Plan!$K$2:$K$600,"Done")</f>
        <v/>
      </c>
      <c r="F9" s="29">
        <f>SUMIF(Plan!$H$2:$H$600,A9,Plan!$G$2:$G$600)</f>
        <v/>
      </c>
      <c r="G9" s="31" t="n"/>
      <c r="H9" s="31" t="n"/>
      <c r="I9" s="31" t="n"/>
      <c r="J9" s="31" t="n"/>
      <c r="K9" s="31" t="n"/>
    </row>
    <row r="10">
      <c r="A10" s="29" t="n">
        <v>9</v>
      </c>
      <c r="B10" s="30">
        <f>README!$C$6+(A10-1)*7</f>
        <v/>
      </c>
      <c r="C10" s="29" t="inlineStr">
        <is>
          <t>Product</t>
        </is>
      </c>
      <c r="D10" s="29">
        <f>COUNTIF(Plan!$H$2:$H$600,A10)</f>
        <v/>
      </c>
      <c r="E10" s="29">
        <f>COUNTIFS(Plan!$H$2:$H$600,A10,Plan!$K$2:$K$600,"Done")</f>
        <v/>
      </c>
      <c r="F10" s="29">
        <f>SUMIF(Plan!$H$2:$H$600,A10,Plan!$G$2:$G$600)</f>
        <v/>
      </c>
      <c r="G10" s="31" t="n"/>
      <c r="H10" s="31" t="n"/>
      <c r="I10" s="31" t="n"/>
      <c r="J10" s="31" t="n"/>
      <c r="K10" s="31" t="n"/>
    </row>
    <row r="11">
      <c r="A11" s="29" t="n">
        <v>10</v>
      </c>
      <c r="B11" s="30">
        <f>README!$C$6+(A11-1)*7</f>
        <v/>
      </c>
      <c r="C11" s="29" t="inlineStr">
        <is>
          <t>Product</t>
        </is>
      </c>
      <c r="D11" s="29">
        <f>COUNTIF(Plan!$H$2:$H$600,A11)</f>
        <v/>
      </c>
      <c r="E11" s="29">
        <f>COUNTIFS(Plan!$H$2:$H$600,A11,Plan!$K$2:$K$600,"Done")</f>
        <v/>
      </c>
      <c r="F11" s="29">
        <f>SUMIF(Plan!$H$2:$H$600,A11,Plan!$G$2:$G$600)</f>
        <v/>
      </c>
      <c r="G11" s="31" t="n"/>
      <c r="H11" s="31" t="n"/>
      <c r="I11" s="31" t="n"/>
      <c r="J11" s="31" t="n"/>
      <c r="K11" s="31" t="n"/>
    </row>
    <row r="12">
      <c r="A12" s="29" t="n">
        <v>11</v>
      </c>
      <c r="B12" s="30">
        <f>README!$C$6+(A12-1)*7</f>
        <v/>
      </c>
      <c r="C12" s="29" t="inlineStr">
        <is>
          <t>Product</t>
        </is>
      </c>
      <c r="D12" s="29">
        <f>COUNTIF(Plan!$H$2:$H$600,A12)</f>
        <v/>
      </c>
      <c r="E12" s="29">
        <f>COUNTIFS(Plan!$H$2:$H$600,A12,Plan!$K$2:$K$600,"Done")</f>
        <v/>
      </c>
      <c r="F12" s="29">
        <f>SUMIF(Plan!$H$2:$H$600,A12,Plan!$G$2:$G$600)</f>
        <v/>
      </c>
      <c r="G12" s="31" t="n"/>
      <c r="H12" s="31" t="n"/>
      <c r="I12" s="31" t="n"/>
      <c r="J12" s="31" t="n"/>
      <c r="K12" s="31" t="n"/>
    </row>
    <row r="13">
      <c r="A13" s="29" t="n">
        <v>12</v>
      </c>
      <c r="B13" s="30">
        <f>README!$C$6+(A13-1)*7</f>
        <v/>
      </c>
      <c r="C13" s="29" t="inlineStr">
        <is>
          <t>Product</t>
        </is>
      </c>
      <c r="D13" s="29">
        <f>COUNTIF(Plan!$H$2:$H$600,A13)</f>
        <v/>
      </c>
      <c r="E13" s="29">
        <f>COUNTIFS(Plan!$H$2:$H$600,A13,Plan!$K$2:$K$600,"Done")</f>
        <v/>
      </c>
      <c r="F13" s="29">
        <f>SUMIF(Plan!$H$2:$H$600,A13,Plan!$G$2:$G$600)</f>
        <v/>
      </c>
      <c r="G13" s="31" t="n"/>
      <c r="H13" s="31" t="n"/>
      <c r="I13" s="31" t="n"/>
      <c r="J13" s="31" t="n"/>
      <c r="K13" s="31" t="n"/>
    </row>
    <row r="14">
      <c r="A14" s="29" t="n">
        <v>13</v>
      </c>
      <c r="B14" s="30">
        <f>README!$C$6+(A14-1)*7</f>
        <v/>
      </c>
      <c r="C14" s="29" t="inlineStr">
        <is>
          <t>Product</t>
        </is>
      </c>
      <c r="D14" s="29">
        <f>COUNTIF(Plan!$H$2:$H$600,A14)</f>
        <v/>
      </c>
      <c r="E14" s="29">
        <f>COUNTIFS(Plan!$H$2:$H$600,A14,Plan!$K$2:$K$600,"Done")</f>
        <v/>
      </c>
      <c r="F14" s="29">
        <f>SUMIF(Plan!$H$2:$H$600,A14,Plan!$G$2:$G$600)</f>
        <v/>
      </c>
      <c r="G14" s="31" t="n"/>
      <c r="H14" s="31" t="n"/>
      <c r="I14" s="31" t="n"/>
      <c r="J14" s="31" t="n"/>
      <c r="K14" s="31" t="n"/>
    </row>
    <row r="15">
      <c r="A15" s="29" t="n">
        <v>14</v>
      </c>
      <c r="B15" s="30">
        <f>README!$C$6+(A15-1)*7</f>
        <v/>
      </c>
      <c r="C15" s="29" t="inlineStr">
        <is>
          <t>Product</t>
        </is>
      </c>
      <c r="D15" s="29">
        <f>COUNTIF(Plan!$H$2:$H$600,A15)</f>
        <v/>
      </c>
      <c r="E15" s="29">
        <f>COUNTIFS(Plan!$H$2:$H$600,A15,Plan!$K$2:$K$600,"Done")</f>
        <v/>
      </c>
      <c r="F15" s="29">
        <f>SUMIF(Plan!$H$2:$H$600,A15,Plan!$G$2:$G$600)</f>
        <v/>
      </c>
      <c r="G15" s="31" t="n"/>
      <c r="H15" s="31" t="n"/>
      <c r="I15" s="31" t="n"/>
      <c r="J15" s="31" t="n"/>
      <c r="K15" s="31" t="n"/>
    </row>
  </sheetData>
  <autoFilter ref="A1:K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Mohit Raj</dc:creator>
  <dcterms:created xsi:type="dcterms:W3CDTF">2026-10-23T04:31:18Z</dcterms:created>
  <dcterms:modified xsi:type="dcterms:W3CDTF">2026-10-23T08:02:03Z</dcterms:modified>
  <cp:lastModifiedBy>Mohit Raj</cp:lastModifiedBy>
</cp:coreProperties>
</file>